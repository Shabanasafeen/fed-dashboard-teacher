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https://noroff.sharepoint.com/sites/Front-endOnlineStaff/Shared Documents/General/Access Lists/"/>
    </mc:Choice>
  </mc:AlternateContent>
  <xr:revisionPtr revIDLastSave="3218" documentId="13_ncr:1_{6FE2868B-01C1-5948-A569-2094A7A7657B}" xr6:coauthVersionLast="47" xr6:coauthVersionMax="47" xr10:uidLastSave="{7E905C36-B533-4215-BFAB-67CCBD16B4B5}"/>
  <bookViews>
    <workbookView xWindow="160" yWindow="660" windowWidth="59840" windowHeight="32080" xr2:uid="{00000000-000D-0000-FFFF-FFFF00000000}"/>
  </bookViews>
  <sheets>
    <sheet name="AUG2022 FED" sheetId="1" r:id="rId1"/>
    <sheet name="Sheet2" sheetId="3" r:id="rId2"/>
    <sheet name="Templates" sheetId="4" r:id="rId3"/>
  </sheets>
  <definedNames>
    <definedName name="_xlnm._FilterDatabase" localSheetId="0" hidden="1">'AUG2022 FED'!$B$14:$R$97</definedName>
    <definedName name="accesslist">'AUG2022 FED'!$B$14:$R$97</definedName>
    <definedName name="in_week">IF(AND(today&gt;='AUG2022 FED'!$B1,today&lt;'AUG2022 FED'!$B2),TRUE,FALSE)</definedName>
    <definedName name="today">TODAY()</definedName>
    <definedName name="weeks">'AUG2022 FED'!$B$17:$B$100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7" i="3"/>
  <c r="A9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C6" i="3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69" i="1"/>
  <c r="B70" i="1" s="1"/>
  <c r="B71" i="1" s="1"/>
  <c r="B72" i="1" s="1"/>
  <c r="B73" i="1" s="1"/>
  <c r="B74" i="1" s="1"/>
  <c r="B75" i="1" s="1"/>
  <c r="B76" i="1" s="1"/>
  <c r="B77" i="1" s="1"/>
  <c r="B78" i="1" s="1"/>
  <c r="B79" i="1" l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C9" i="3" a="1"/>
  <c r="C9" i="3" s="1"/>
  <c r="C8" i="3" a="1"/>
  <c r="C8" i="3" s="1"/>
  <c r="C7" i="3" a="1"/>
  <c r="C7" i="3" s="1"/>
  <c r="B269" i="1" l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<sst xmlns="http://schemas.openxmlformats.org/spreadsheetml/2006/main" count="4056" uniqueCount="365">
  <si>
    <t>Course Start</t>
  </si>
  <si>
    <t>Legend</t>
  </si>
  <si>
    <t>Course Assignment</t>
  </si>
  <si>
    <t>AUTUMN SEMESTER</t>
  </si>
  <si>
    <t>Start Course</t>
  </si>
  <si>
    <t>Intake (Introduction) week</t>
  </si>
  <si>
    <t>SPRING SEMESTER</t>
  </si>
  <si>
    <t>Assessments</t>
  </si>
  <si>
    <t>FED Access list (Year 1 and Year 2)</t>
  </si>
  <si>
    <t>Total Students</t>
  </si>
  <si>
    <t>S19 Study plan</t>
  </si>
  <si>
    <t>S21 Study plan</t>
  </si>
  <si>
    <t>S23 Study plan</t>
  </si>
  <si>
    <t>New Teams Classes (already on ✔︎)</t>
  </si>
  <si>
    <t>✔︎</t>
  </si>
  <si>
    <t>S24 Study plan</t>
  </si>
  <si>
    <t>Open class / CA</t>
  </si>
  <si>
    <t>X</t>
  </si>
  <si>
    <t>2021 CLASSES</t>
  </si>
  <si>
    <t>2022 CLASSES</t>
  </si>
  <si>
    <t>2023 CLASSES</t>
  </si>
  <si>
    <t>2024 CLASSES</t>
  </si>
  <si>
    <t>2025 CLASSES</t>
  </si>
  <si>
    <t>2026 CLASSES</t>
  </si>
  <si>
    <t>Student numbers</t>
  </si>
  <si>
    <t>Study plan</t>
  </si>
  <si>
    <t>S19</t>
  </si>
  <si>
    <t>S21</t>
  </si>
  <si>
    <t>S24</t>
  </si>
  <si>
    <t>S23</t>
  </si>
  <si>
    <t>S25</t>
  </si>
  <si>
    <t>LMS</t>
  </si>
  <si>
    <t>Moodle</t>
  </si>
  <si>
    <t>New Moodle</t>
  </si>
  <si>
    <t>2021-2023 version</t>
  </si>
  <si>
    <t>INTAKE CLASS</t>
  </si>
  <si>
    <t>Oct20PT</t>
  </si>
  <si>
    <t>JAN21PT</t>
  </si>
  <si>
    <t>MAR21PT</t>
  </si>
  <si>
    <t>AUG21PT</t>
  </si>
  <si>
    <t>OCT21PT</t>
  </si>
  <si>
    <t>JAN22PT</t>
  </si>
  <si>
    <t>MAR22PT</t>
  </si>
  <si>
    <t>AUG22PT</t>
  </si>
  <si>
    <t>OCT22PT</t>
  </si>
  <si>
    <t>JAN23FT</t>
  </si>
  <si>
    <t>JAN23PT</t>
  </si>
  <si>
    <t>MAR23FT</t>
  </si>
  <si>
    <t>MAR23PT</t>
  </si>
  <si>
    <t>AUG23FT</t>
  </si>
  <si>
    <t>AUG23PT</t>
  </si>
  <si>
    <t>OCT23FT</t>
  </si>
  <si>
    <t>OCT23PT</t>
  </si>
  <si>
    <t>JAN24FT</t>
  </si>
  <si>
    <t>JAN24PT</t>
  </si>
  <si>
    <t>MAR24FT</t>
  </si>
  <si>
    <t>MAR24PT</t>
  </si>
  <si>
    <t>AUG24FT</t>
  </si>
  <si>
    <t>AUG24PT</t>
  </si>
  <si>
    <t>OCT24FT</t>
  </si>
  <si>
    <t>OCT24PT</t>
  </si>
  <si>
    <t>JAN25FT</t>
  </si>
  <si>
    <t>JAN25PT</t>
  </si>
  <si>
    <t>MAR25FT</t>
  </si>
  <si>
    <t>MAR25PT</t>
  </si>
  <si>
    <t>AUG25FT</t>
  </si>
  <si>
    <t>AUG25PT</t>
  </si>
  <si>
    <t>OCT25FT</t>
  </si>
  <si>
    <t>OCT25PT</t>
  </si>
  <si>
    <t>JAN26FT</t>
  </si>
  <si>
    <t>JAN26PT</t>
  </si>
  <si>
    <t>MAR26FT</t>
  </si>
  <si>
    <t>MAR26PT</t>
  </si>
  <si>
    <t>AUG26FT</t>
  </si>
  <si>
    <t>AUG26PT</t>
  </si>
  <si>
    <t>OCT26FT</t>
  </si>
  <si>
    <t>OCT26PT</t>
  </si>
  <si>
    <t>Link To Moodle Year 2</t>
  </si>
  <si>
    <t>  </t>
  </si>
  <si>
    <t>Oct23FT</t>
  </si>
  <si>
    <t>Oct24FT</t>
  </si>
  <si>
    <t>Oct24PT</t>
  </si>
  <si>
    <t>Jan25FT</t>
  </si>
  <si>
    <t>Jan25PT</t>
  </si>
  <si>
    <t>Mar25FT</t>
  </si>
  <si>
    <t>Mar25PT</t>
  </si>
  <si>
    <t>Week Start</t>
  </si>
  <si>
    <t>Calendar Week</t>
  </si>
  <si>
    <t>August Start</t>
  </si>
  <si>
    <t>Week 33</t>
  </si>
  <si>
    <t>35. PE2</t>
  </si>
  <si>
    <t>31. PE2</t>
  </si>
  <si>
    <t>26. JSF</t>
  </si>
  <si>
    <t>21. DVP</t>
  </si>
  <si>
    <t>16. SP2</t>
  </si>
  <si>
    <t>11. WFL</t>
  </si>
  <si>
    <t>6. JS2</t>
  </si>
  <si>
    <t>0.INTRO</t>
  </si>
  <si>
    <t>22. DVP</t>
  </si>
  <si>
    <t>31. CMS</t>
  </si>
  <si>
    <t>12. WFL</t>
  </si>
  <si>
    <t>26. INDES</t>
  </si>
  <si>
    <t>20. JS1</t>
  </si>
  <si>
    <t>31.AGC1</t>
  </si>
  <si>
    <t>15. SP1</t>
  </si>
  <si>
    <t>22. JS1</t>
  </si>
  <si>
    <t>11. HTML</t>
  </si>
  <si>
    <t>12. PME</t>
  </si>
  <si>
    <t>6. HTML</t>
  </si>
  <si>
    <t>Week 34</t>
  </si>
  <si>
    <t>27. JSF</t>
  </si>
  <si>
    <t>7. JS2</t>
  </si>
  <si>
    <t>23. DVP</t>
  </si>
  <si>
    <t>13. SP2</t>
  </si>
  <si>
    <t>1.JS2</t>
  </si>
  <si>
    <t>32.PE1</t>
  </si>
  <si>
    <t>16. SP1</t>
  </si>
  <si>
    <t>23. JS1</t>
  </si>
  <si>
    <t>13. PME</t>
  </si>
  <si>
    <t>1.DES</t>
  </si>
  <si>
    <t>Week 35</t>
  </si>
  <si>
    <t>36. PE2</t>
  </si>
  <si>
    <t>32. PE2</t>
  </si>
  <si>
    <t>17. SP2</t>
  </si>
  <si>
    <t>1. CSS</t>
  </si>
  <si>
    <t>24. DVP</t>
  </si>
  <si>
    <t>32. CMS</t>
  </si>
  <si>
    <t>14. SP2</t>
  </si>
  <si>
    <t>27. INDES</t>
  </si>
  <si>
    <t>2.JS2</t>
  </si>
  <si>
    <t>21. JS1</t>
  </si>
  <si>
    <t>33.PE1</t>
  </si>
  <si>
    <t>24. JS1</t>
  </si>
  <si>
    <t>14. SP1</t>
  </si>
  <si>
    <t>7. HTML</t>
  </si>
  <si>
    <t>2.DES</t>
  </si>
  <si>
    <t>Week 36</t>
  </si>
  <si>
    <t>28. JSF</t>
  </si>
  <si>
    <t>8. JS2</t>
  </si>
  <si>
    <t>25. JSF</t>
  </si>
  <si>
    <t>15. SP2</t>
  </si>
  <si>
    <t>3.JS2</t>
  </si>
  <si>
    <t>34.PE1</t>
  </si>
  <si>
    <t>17. SP1</t>
  </si>
  <si>
    <t>25. JS1</t>
  </si>
  <si>
    <t>3.DES</t>
  </si>
  <si>
    <t>Week 37</t>
  </si>
  <si>
    <t>37. PE2</t>
  </si>
  <si>
    <t>33. PE2</t>
  </si>
  <si>
    <t>18. IND</t>
  </si>
  <si>
    <t>2. CSS</t>
  </si>
  <si>
    <t>33. PE1</t>
  </si>
  <si>
    <t>28. INDES</t>
  </si>
  <si>
    <t>4.JS2</t>
  </si>
  <si>
    <t>35.PE1</t>
  </si>
  <si>
    <t>26. AGC1</t>
  </si>
  <si>
    <t>8. HTML</t>
  </si>
  <si>
    <t>4.DES</t>
  </si>
  <si>
    <t>Week 38</t>
  </si>
  <si>
    <t>29. JSF</t>
  </si>
  <si>
    <t>9. WFL</t>
  </si>
  <si>
    <t>5.JS2</t>
  </si>
  <si>
    <t>36.PE1</t>
  </si>
  <si>
    <t>18. JS1</t>
  </si>
  <si>
    <t>27. AGC1</t>
  </si>
  <si>
    <t>5.DES</t>
  </si>
  <si>
    <t>Week 39</t>
  </si>
  <si>
    <t>38. POR2</t>
  </si>
  <si>
    <t>34. PE2</t>
  </si>
  <si>
    <t>19. IND</t>
  </si>
  <si>
    <t>3. JS2</t>
  </si>
  <si>
    <t>34. PE1</t>
  </si>
  <si>
    <t>29. INDES</t>
  </si>
  <si>
    <t>6.JS2</t>
  </si>
  <si>
    <t>37.PE1</t>
  </si>
  <si>
    <t>28. AGC1</t>
  </si>
  <si>
    <t>9. HTML</t>
  </si>
  <si>
    <t>6.HTML</t>
  </si>
  <si>
    <t>Week 40</t>
  </si>
  <si>
    <t>30. JSF</t>
  </si>
  <si>
    <t>10. WFL</t>
  </si>
  <si>
    <t>7.WFL</t>
  </si>
  <si>
    <t>38.POR1</t>
  </si>
  <si>
    <t>19. JS1</t>
  </si>
  <si>
    <t>29. AGC1</t>
  </si>
  <si>
    <t>7.HTML</t>
  </si>
  <si>
    <t>Week 41</t>
  </si>
  <si>
    <t>39. POR2</t>
  </si>
  <si>
    <t>20. IND</t>
  </si>
  <si>
    <t>4. JS2</t>
  </si>
  <si>
    <t>35. PE1</t>
  </si>
  <si>
    <t>30. CMS</t>
  </si>
  <si>
    <t>8.WFL</t>
  </si>
  <si>
    <t>39.POR1</t>
  </si>
  <si>
    <t>30. AGC1</t>
  </si>
  <si>
    <t>10. HTML</t>
  </si>
  <si>
    <t>8.HTML</t>
  </si>
  <si>
    <t>October Start</t>
  </si>
  <si>
    <t>Week 42</t>
  </si>
  <si>
    <t>39. POR2 / 0.INTRO</t>
  </si>
  <si>
    <t>9.WFL</t>
  </si>
  <si>
    <t>31. AGC1</t>
  </si>
  <si>
    <t>9.HTML</t>
  </si>
  <si>
    <t>Week 43</t>
  </si>
  <si>
    <t>5. JS2</t>
  </si>
  <si>
    <t>36. PE1</t>
  </si>
  <si>
    <t>10.CSS</t>
  </si>
  <si>
    <t>1. JS2</t>
  </si>
  <si>
    <t>32. PE1</t>
  </si>
  <si>
    <t>10.HTML</t>
  </si>
  <si>
    <t>Week 44</t>
  </si>
  <si>
    <t>11.CSS</t>
  </si>
  <si>
    <t>2. JS2</t>
  </si>
  <si>
    <t>11.HTML</t>
  </si>
  <si>
    <t>Week 45</t>
  </si>
  <si>
    <t>37. PE1</t>
  </si>
  <si>
    <t>12.CSS</t>
  </si>
  <si>
    <t>12.PME</t>
  </si>
  <si>
    <t>Week 46</t>
  </si>
  <si>
    <t>13.SP2</t>
  </si>
  <si>
    <t>13.PME</t>
  </si>
  <si>
    <t>Week 47</t>
  </si>
  <si>
    <t>38. POR1</t>
  </si>
  <si>
    <t>14.SP2</t>
  </si>
  <si>
    <t>14.SP1</t>
  </si>
  <si>
    <t>Week 48</t>
  </si>
  <si>
    <t>15.SP2</t>
  </si>
  <si>
    <t>15.SP1</t>
  </si>
  <si>
    <t>Week 49</t>
  </si>
  <si>
    <t>39. POR1</t>
  </si>
  <si>
    <t>16.SP2</t>
  </si>
  <si>
    <t>7. WFL</t>
  </si>
  <si>
    <t>16.SP1</t>
  </si>
  <si>
    <t>Week 50</t>
  </si>
  <si>
    <t>17.SP2</t>
  </si>
  <si>
    <t>8. WFL</t>
  </si>
  <si>
    <t>17.SP1</t>
  </si>
  <si>
    <t>Week 51</t>
  </si>
  <si>
    <t>18.DVP</t>
  </si>
  <si>
    <t>18.JS1</t>
  </si>
  <si>
    <t>Christmas</t>
  </si>
  <si>
    <t>Week 52</t>
  </si>
  <si>
    <t>Week 1</t>
  </si>
  <si>
    <t>January Start</t>
  </si>
  <si>
    <t>Week 2</t>
  </si>
  <si>
    <t>0. INTRO</t>
  </si>
  <si>
    <t>19.DVP</t>
  </si>
  <si>
    <t>10. CSS</t>
  </si>
  <si>
    <t>19.JS1</t>
  </si>
  <si>
    <t>Week 3</t>
  </si>
  <si>
    <t>20.DVP</t>
  </si>
  <si>
    <t>11. CSS</t>
  </si>
  <si>
    <t>20.JS1</t>
  </si>
  <si>
    <t>Week 4</t>
  </si>
  <si>
    <t>21.DVP</t>
  </si>
  <si>
    <t>12. CSS</t>
  </si>
  <si>
    <t>26. JS1</t>
  </si>
  <si>
    <t>21.JS1</t>
  </si>
  <si>
    <t>Week 5</t>
  </si>
  <si>
    <t>22.JSF</t>
  </si>
  <si>
    <t>22.JS1</t>
  </si>
  <si>
    <t>Week 6</t>
  </si>
  <si>
    <t>23.JSF</t>
  </si>
  <si>
    <t>23.JS1</t>
  </si>
  <si>
    <t>Week 7</t>
  </si>
  <si>
    <t>24.JSF</t>
  </si>
  <si>
    <t>24.JS1</t>
  </si>
  <si>
    <t>Week 8</t>
  </si>
  <si>
    <t>25.JSF</t>
  </si>
  <si>
    <t>25.JS1</t>
  </si>
  <si>
    <t>Week 9</t>
  </si>
  <si>
    <t>3.  JS2</t>
  </si>
  <si>
    <t>26.JSF</t>
  </si>
  <si>
    <t>26.AGC1</t>
  </si>
  <si>
    <t>Week 10</t>
  </si>
  <si>
    <t>4.  JS2</t>
  </si>
  <si>
    <t>27.JSF</t>
  </si>
  <si>
    <t>18. DVP</t>
  </si>
  <si>
    <t>27.AGC1</t>
  </si>
  <si>
    <t>March Start</t>
  </si>
  <si>
    <t>Week 11</t>
  </si>
  <si>
    <t>28.AGC2</t>
  </si>
  <si>
    <t>19. DVP</t>
  </si>
  <si>
    <t>28.AGC1</t>
  </si>
  <si>
    <t>Week 12</t>
  </si>
  <si>
    <t>5.  JS2</t>
  </si>
  <si>
    <t>29.AGC2</t>
  </si>
  <si>
    <t>20. DVP</t>
  </si>
  <si>
    <t>29.AGC1</t>
  </si>
  <si>
    <t>Week 13</t>
  </si>
  <si>
    <t>30.AGC2</t>
  </si>
  <si>
    <t>30.AGC1</t>
  </si>
  <si>
    <t>Week 14</t>
  </si>
  <si>
    <t>31. AGC2</t>
  </si>
  <si>
    <t>22. JSF</t>
  </si>
  <si>
    <t>Week 15</t>
  </si>
  <si>
    <t>23. JSF</t>
  </si>
  <si>
    <t xml:space="preserve">Easter </t>
  </si>
  <si>
    <t>Week 16</t>
  </si>
  <si>
    <t>Week 17</t>
  </si>
  <si>
    <t>24. JSF</t>
  </si>
  <si>
    <t>32. AGC1</t>
  </si>
  <si>
    <t>Week 18</t>
  </si>
  <si>
    <t>Week 19</t>
  </si>
  <si>
    <t>Week 20</t>
  </si>
  <si>
    <t>Week 21</t>
  </si>
  <si>
    <t>28. AGC2</t>
  </si>
  <si>
    <t>Week 22</t>
  </si>
  <si>
    <t>29. AGC2</t>
  </si>
  <si>
    <t>Week 23</t>
  </si>
  <si>
    <t>30. AGC2</t>
  </si>
  <si>
    <t>Summer break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</si>
  <si>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</si>
  <si>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</si>
  <si>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</si>
  <si>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</si>
  <si>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</si>
  <si>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</si>
  <si>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</si>
  <si>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</si>
  <si>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</si>
  <si>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40. PORT1</t>
  </si>
  <si>
    <t xml:space="preserve">October Start </t>
  </si>
  <si>
    <t>Christmas Break</t>
  </si>
  <si>
    <t xml:space="preserve">January Start </t>
  </si>
  <si>
    <t>26.JS1</t>
  </si>
  <si>
    <t>Easter</t>
  </si>
  <si>
    <t>32.AGC1</t>
  </si>
  <si>
    <t>DE</t>
  </si>
  <si>
    <t xml:space="preserve"> </t>
  </si>
  <si>
    <t>Week 53</t>
  </si>
  <si>
    <t>31.AGC2</t>
  </si>
  <si>
    <t>32.PE2</t>
  </si>
  <si>
    <t>33.PE2</t>
  </si>
  <si>
    <t>34.PE2</t>
  </si>
  <si>
    <t>Easter Break</t>
  </si>
  <si>
    <t>35.PE2</t>
  </si>
  <si>
    <t>36.PE2</t>
  </si>
  <si>
    <t>37.PE2</t>
  </si>
  <si>
    <t>38.POR2</t>
  </si>
  <si>
    <t>39.POR2</t>
  </si>
  <si>
    <t>Summer Break</t>
  </si>
  <si>
    <t>Week 01</t>
  </si>
  <si>
    <t>Week 02</t>
  </si>
  <si>
    <t>Week 03</t>
  </si>
  <si>
    <t>Week 04</t>
  </si>
  <si>
    <t>Week 05</t>
  </si>
  <si>
    <t>Week 06</t>
  </si>
  <si>
    <t>Week 07</t>
  </si>
  <si>
    <t>Week 08</t>
  </si>
  <si>
    <t>Week 09</t>
  </si>
  <si>
    <t xml:space="preserve">Week 15 </t>
  </si>
  <si>
    <t xml:space="preserve">Week 16 </t>
  </si>
  <si>
    <t xml:space="preserve">Week 17 </t>
  </si>
  <si>
    <t xml:space="preserve">Week 20 </t>
  </si>
  <si>
    <t xml:space="preserve">Week 22 </t>
  </si>
  <si>
    <t xml:space="preserve">Week 25 </t>
  </si>
  <si>
    <t xml:space="preserve">Week 26 </t>
  </si>
  <si>
    <t xml:space="preserve">Week 27 </t>
  </si>
  <si>
    <t xml:space="preserve">Week 28 </t>
  </si>
  <si>
    <t xml:space="preserve">Week 30 </t>
  </si>
  <si>
    <t>Full Time</t>
  </si>
  <si>
    <t>Part Time</t>
  </si>
  <si>
    <t>FED1</t>
  </si>
  <si>
    <t>FED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</si>
</sst>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sz val="24"/>
      <color theme="0" tint="-0.1499984740745262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rgb="FF9C0006"/>
      <name val="Calibri"/>
      <scheme val="minor"/>
    </font>
    <font>
      <sz val="12"/>
      <color rgb="FF000000"/>
      <name val="Aptos Narrow"/>
      <family val="2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</font>
    <font>
      <b/>
      <sz val="12"/>
      <color theme="5" tint="0.59999389629810485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0DDDD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B8B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3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FFC7CE"/>
      </patternFill>
    </fill>
    <fill>
      <patternFill patternType="solid">
        <fgColor rgb="FFFFC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6CFFA"/>
        <bgColor indexed="64"/>
      </patternFill>
    </fill>
    <fill>
      <patternFill patternType="solid">
        <fgColor theme="5" tint="0.3999755851924192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1" fillId="17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4" borderId="0" applyNumberFormat="0" applyBorder="0" applyAlignment="0" applyProtection="0"/>
  </cellStyleXfs>
  <cellXfs count="2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15" fontId="3" fillId="8" borderId="11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5" fontId="3" fillId="8" borderId="13" xfId="0" applyNumberFormat="1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15" fontId="3" fillId="8" borderId="14" xfId="0" applyNumberFormat="1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15" fontId="3" fillId="3" borderId="11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3" fillId="3" borderId="9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15" fontId="3" fillId="3" borderId="13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5" fontId="0" fillId="13" borderId="11" xfId="0" applyNumberForma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7" fillId="0" borderId="0" xfId="0" applyFont="1"/>
    <xf numFmtId="0" fontId="8" fillId="0" borderId="10" xfId="0" applyFont="1" applyBorder="1"/>
    <xf numFmtId="15" fontId="9" fillId="9" borderId="4" xfId="0" applyNumberFormat="1" applyFont="1" applyFill="1" applyBorder="1" applyAlignment="1">
      <alignment horizontal="center" vertical="center"/>
    </xf>
    <xf numFmtId="0" fontId="7" fillId="9" borderId="0" xfId="0" applyFont="1" applyFill="1"/>
    <xf numFmtId="0" fontId="7" fillId="9" borderId="2" xfId="0" applyFont="1" applyFill="1" applyBorder="1"/>
    <xf numFmtId="0" fontId="7" fillId="15" borderId="2" xfId="0" applyFont="1" applyFill="1" applyBorder="1"/>
    <xf numFmtId="15" fontId="10" fillId="0" borderId="0" xfId="0" applyNumberFormat="1" applyFont="1"/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2" fillId="3" borderId="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5" fontId="0" fillId="13" borderId="12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11" xfId="0" applyNumberFormat="1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15" fontId="3" fillId="4" borderId="9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5" borderId="3" xfId="0" applyFont="1" applyFill="1" applyBorder="1" applyAlignment="1">
      <alignment horizontal="center" readingOrder="1"/>
    </xf>
    <xf numFmtId="0" fontId="0" fillId="0" borderId="3" xfId="0" applyBorder="1"/>
    <xf numFmtId="0" fontId="3" fillId="3" borderId="7" xfId="0" applyFont="1" applyFill="1" applyBorder="1" applyAlignment="1">
      <alignment horizontal="center" vertical="center"/>
    </xf>
    <xf numFmtId="0" fontId="11" fillId="17" borderId="3" xfId="1" applyBorder="1" applyAlignment="1">
      <alignment horizontal="center"/>
    </xf>
    <xf numFmtId="0" fontId="13" fillId="0" borderId="0" xfId="2" applyAlignment="1">
      <alignment horizontal="center"/>
    </xf>
    <xf numFmtId="0" fontId="14" fillId="0" borderId="0" xfId="3" applyAlignment="1">
      <alignment horizontal="center"/>
    </xf>
    <xf numFmtId="0" fontId="3" fillId="3" borderId="2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1" fillId="17" borderId="2" xfId="1" applyBorder="1" applyAlignment="1">
      <alignment horizontal="center"/>
    </xf>
    <xf numFmtId="0" fontId="11" fillId="17" borderId="26" xfId="1" applyBorder="1" applyAlignment="1">
      <alignment horizontal="center"/>
    </xf>
    <xf numFmtId="0" fontId="11" fillId="17" borderId="24" xfId="1" applyBorder="1" applyAlignment="1">
      <alignment horizontal="center"/>
    </xf>
    <xf numFmtId="0" fontId="11" fillId="17" borderId="4" xfId="1" applyBorder="1" applyAlignment="1">
      <alignment horizontal="center"/>
    </xf>
    <xf numFmtId="0" fontId="11" fillId="17" borderId="28" xfId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15" fontId="3" fillId="8" borderId="12" xfId="0" applyNumberFormat="1" applyFont="1" applyFill="1" applyBorder="1" applyAlignment="1">
      <alignment horizontal="center" vertical="center"/>
    </xf>
    <xf numFmtId="0" fontId="0" fillId="0" borderId="11" xfId="0" applyBorder="1"/>
    <xf numFmtId="0" fontId="1" fillId="22" borderId="29" xfId="8" applyBorder="1" applyAlignment="1">
      <alignment horizontal="center"/>
    </xf>
    <xf numFmtId="0" fontId="1" fillId="22" borderId="29" xfId="8" applyBorder="1"/>
    <xf numFmtId="0" fontId="2" fillId="0" borderId="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5" fillId="23" borderId="2" xfId="0" applyFont="1" applyFill="1" applyBorder="1" applyAlignment="1">
      <alignment horizontal="center" vertical="center"/>
    </xf>
    <xf numFmtId="0" fontId="18" fillId="25" borderId="2" xfId="0" applyFont="1" applyFill="1" applyBorder="1" applyAlignment="1">
      <alignment horizontal="center"/>
    </xf>
    <xf numFmtId="0" fontId="18" fillId="27" borderId="2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5" fontId="6" fillId="13" borderId="12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0" borderId="14" xfId="0" applyBorder="1"/>
    <xf numFmtId="0" fontId="14" fillId="0" borderId="13" xfId="3" applyBorder="1" applyAlignment="1">
      <alignment horizontal="center"/>
    </xf>
    <xf numFmtId="0" fontId="1" fillId="20" borderId="11" xfId="6" applyBorder="1" applyAlignment="1">
      <alignment horizontal="center"/>
    </xf>
    <xf numFmtId="0" fontId="17" fillId="24" borderId="14" xfId="9" applyBorder="1" applyAlignment="1">
      <alignment horizontal="right"/>
    </xf>
    <xf numFmtId="0" fontId="0" fillId="0" borderId="11" xfId="0" applyBorder="1" applyAlignment="1">
      <alignment horizontal="left"/>
    </xf>
    <xf numFmtId="0" fontId="1" fillId="18" borderId="11" xfId="4" applyBorder="1" applyAlignment="1">
      <alignment horizontal="center"/>
    </xf>
    <xf numFmtId="0" fontId="1" fillId="19" borderId="11" xfId="5" applyBorder="1" applyAlignment="1">
      <alignment horizontal="center"/>
    </xf>
    <xf numFmtId="0" fontId="1" fillId="21" borderId="11" xfId="7" applyBorder="1" applyAlignment="1">
      <alignment horizontal="center"/>
    </xf>
    <xf numFmtId="0" fontId="0" fillId="0" borderId="2" xfId="0" applyBorder="1"/>
    <xf numFmtId="0" fontId="18" fillId="14" borderId="3" xfId="0" applyFont="1" applyFill="1" applyBorder="1" applyAlignment="1">
      <alignment horizontal="center"/>
    </xf>
    <xf numFmtId="0" fontId="18" fillId="14" borderId="2" xfId="0" applyFont="1" applyFill="1" applyBorder="1" applyAlignment="1">
      <alignment horizontal="center"/>
    </xf>
    <xf numFmtId="0" fontId="3" fillId="28" borderId="11" xfId="0" applyFont="1" applyFill="1" applyBorder="1" applyAlignment="1">
      <alignment horizontal="center" vertical="center"/>
    </xf>
    <xf numFmtId="0" fontId="20" fillId="0" borderId="11" xfId="3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1" fillId="0" borderId="11" xfId="3" applyFont="1" applyBorder="1" applyAlignment="1">
      <alignment horizontal="center" vertical="center"/>
    </xf>
    <xf numFmtId="0" fontId="23" fillId="7" borderId="2" xfId="0" applyFont="1" applyFill="1" applyBorder="1" applyAlignment="1">
      <alignment horizontal="center" readingOrder="1"/>
    </xf>
    <xf numFmtId="0" fontId="23" fillId="26" borderId="2" xfId="0" applyFont="1" applyFill="1" applyBorder="1" applyAlignment="1">
      <alignment horizontal="center" readingOrder="1"/>
    </xf>
    <xf numFmtId="0" fontId="18" fillId="6" borderId="2" xfId="0" applyFont="1" applyFill="1" applyBorder="1" applyAlignment="1">
      <alignment horizontal="center"/>
    </xf>
    <xf numFmtId="0" fontId="24" fillId="3" borderId="18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readingOrder="1"/>
    </xf>
    <xf numFmtId="0" fontId="1" fillId="7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4" fillId="3" borderId="1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25" fillId="5" borderId="3" xfId="0" applyFont="1" applyFill="1" applyBorder="1" applyAlignment="1">
      <alignment horizontal="center" readingOrder="1"/>
    </xf>
    <xf numFmtId="0" fontId="26" fillId="23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23" fillId="7" borderId="25" xfId="0" applyFont="1" applyFill="1" applyBorder="1" applyAlignment="1">
      <alignment horizontal="center" readingOrder="1"/>
    </xf>
    <xf numFmtId="0" fontId="1" fillId="6" borderId="11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readingOrder="1"/>
    </xf>
    <xf numFmtId="0" fontId="24" fillId="3" borderId="0" xfId="0" applyFont="1" applyFill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/>
    </xf>
    <xf numFmtId="0" fontId="23" fillId="5" borderId="10" xfId="0" applyFont="1" applyFill="1" applyBorder="1" applyAlignment="1">
      <alignment horizontal="center" readingOrder="1"/>
    </xf>
    <xf numFmtId="0" fontId="23" fillId="5" borderId="2" xfId="0" applyFont="1" applyFill="1" applyBorder="1" applyAlignment="1">
      <alignment horizontal="center" readingOrder="1"/>
    </xf>
    <xf numFmtId="0" fontId="1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20" borderId="13" xfId="6" applyBorder="1" applyAlignment="1">
      <alignment horizontal="center"/>
    </xf>
    <xf numFmtId="0" fontId="11" fillId="17" borderId="11" xfId="1" applyBorder="1" applyAlignment="1">
      <alignment horizontal="center"/>
    </xf>
    <xf numFmtId="0" fontId="1" fillId="19" borderId="37" xfId="5" applyBorder="1" applyAlignment="1">
      <alignment horizontal="center"/>
    </xf>
    <xf numFmtId="0" fontId="1" fillId="19" borderId="38" xfId="5" applyBorder="1" applyAlignment="1">
      <alignment horizontal="center"/>
    </xf>
    <xf numFmtId="0" fontId="11" fillId="17" borderId="39" xfId="1" applyBorder="1" applyAlignment="1">
      <alignment horizontal="center"/>
    </xf>
    <xf numFmtId="0" fontId="11" fillId="17" borderId="40" xfId="1" applyBorder="1" applyAlignment="1">
      <alignment horizontal="center"/>
    </xf>
    <xf numFmtId="0" fontId="11" fillId="17" borderId="41" xfId="1" applyBorder="1" applyAlignment="1">
      <alignment horizontal="center"/>
    </xf>
    <xf numFmtId="0" fontId="11" fillId="17" borderId="29" xfId="1" applyBorder="1" applyAlignment="1">
      <alignment horizontal="center"/>
    </xf>
    <xf numFmtId="0" fontId="1" fillId="18" borderId="9" xfId="4" applyBorder="1" applyAlignment="1">
      <alignment horizontal="center"/>
    </xf>
    <xf numFmtId="0" fontId="1" fillId="20" borderId="12" xfId="6" applyBorder="1" applyAlignment="1">
      <alignment horizontal="center"/>
    </xf>
    <xf numFmtId="0" fontId="0" fillId="0" borderId="19" xfId="0" applyBorder="1"/>
    <xf numFmtId="0" fontId="1" fillId="6" borderId="2" xfId="0" applyFont="1" applyFill="1" applyBorder="1" applyAlignment="1">
      <alignment horizontal="center"/>
    </xf>
    <xf numFmtId="0" fontId="20" fillId="13" borderId="15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20" fillId="13" borderId="17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1" fillId="20" borderId="14" xfId="6" applyBorder="1" applyAlignment="1">
      <alignment horizontal="center"/>
    </xf>
    <xf numFmtId="0" fontId="1" fillId="20" borderId="32" xfId="6" applyBorder="1" applyAlignment="1">
      <alignment horizontal="center"/>
    </xf>
    <xf numFmtId="0" fontId="1" fillId="20" borderId="9" xfId="6" applyBorder="1" applyAlignment="1">
      <alignment horizontal="center"/>
    </xf>
    <xf numFmtId="0" fontId="11" fillId="17" borderId="43" xfId="1" applyBorder="1" applyAlignment="1">
      <alignment horizontal="center"/>
    </xf>
    <xf numFmtId="0" fontId="11" fillId="17" borderId="44" xfId="1" applyBorder="1" applyAlignment="1">
      <alignment horizontal="center"/>
    </xf>
    <xf numFmtId="0" fontId="14" fillId="0" borderId="45" xfId="3" applyBorder="1" applyAlignment="1">
      <alignment horizontal="center"/>
    </xf>
    <xf numFmtId="0" fontId="14" fillId="0" borderId="19" xfId="3" applyBorder="1" applyAlignment="1">
      <alignment horizontal="center"/>
    </xf>
    <xf numFmtId="0" fontId="14" fillId="0" borderId="19" xfId="3" applyFill="1" applyBorder="1" applyAlignment="1">
      <alignment horizontal="center"/>
    </xf>
    <xf numFmtId="0" fontId="1" fillId="21" borderId="37" xfId="7" applyBorder="1" applyAlignment="1">
      <alignment horizontal="center"/>
    </xf>
    <xf numFmtId="0" fontId="1" fillId="21" borderId="38" xfId="7" applyBorder="1" applyAlignment="1">
      <alignment horizontal="center"/>
    </xf>
    <xf numFmtId="0" fontId="11" fillId="17" borderId="8" xfId="1" applyBorder="1" applyAlignment="1">
      <alignment horizontal="center"/>
    </xf>
    <xf numFmtId="0" fontId="1" fillId="20" borderId="21" xfId="6" applyBorder="1" applyAlignment="1">
      <alignment horizontal="center"/>
    </xf>
    <xf numFmtId="0" fontId="14" fillId="0" borderId="31" xfId="3" applyBorder="1" applyAlignment="1">
      <alignment horizontal="center"/>
    </xf>
    <xf numFmtId="0" fontId="23" fillId="6" borderId="3" xfId="0" applyFont="1" applyFill="1" applyBorder="1" applyAlignment="1">
      <alignment horizontal="center" readingOrder="1"/>
    </xf>
    <xf numFmtId="0" fontId="23" fillId="29" borderId="3" xfId="0" applyFont="1" applyFill="1" applyBorder="1" applyAlignment="1">
      <alignment horizontal="center" readingOrder="1"/>
    </xf>
    <xf numFmtId="0" fontId="23" fillId="5" borderId="48" xfId="0" applyFont="1" applyFill="1" applyBorder="1" applyAlignment="1">
      <alignment horizontal="center" readingOrder="1"/>
    </xf>
    <xf numFmtId="0" fontId="1" fillId="6" borderId="48" xfId="0" applyFont="1" applyFill="1" applyBorder="1" applyAlignment="1">
      <alignment horizontal="center"/>
    </xf>
    <xf numFmtId="0" fontId="23" fillId="5" borderId="49" xfId="0" applyFont="1" applyFill="1" applyBorder="1" applyAlignment="1">
      <alignment horizontal="center" readingOrder="1"/>
    </xf>
    <xf numFmtId="0" fontId="23" fillId="5" borderId="50" xfId="0" applyFont="1" applyFill="1" applyBorder="1" applyAlignment="1">
      <alignment horizontal="center" readingOrder="1"/>
    </xf>
    <xf numFmtId="0" fontId="23" fillId="5" borderId="4" xfId="0" applyFont="1" applyFill="1" applyBorder="1" applyAlignment="1">
      <alignment horizontal="center" readingOrder="1"/>
    </xf>
    <xf numFmtId="0" fontId="1" fillId="6" borderId="6" xfId="0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 readingOrder="1"/>
    </xf>
    <xf numFmtId="0" fontId="1" fillId="6" borderId="4" xfId="0" applyFont="1" applyFill="1" applyBorder="1" applyAlignment="1">
      <alignment horizontal="center"/>
    </xf>
    <xf numFmtId="0" fontId="23" fillId="5" borderId="0" xfId="0" applyFont="1" applyFill="1" applyAlignment="1">
      <alignment horizontal="center" readingOrder="1"/>
    </xf>
    <xf numFmtId="0" fontId="25" fillId="5" borderId="48" xfId="0" applyFont="1" applyFill="1" applyBorder="1" applyAlignment="1">
      <alignment horizontal="center" readingOrder="1"/>
    </xf>
    <xf numFmtId="0" fontId="25" fillId="5" borderId="49" xfId="0" applyFont="1" applyFill="1" applyBorder="1" applyAlignment="1">
      <alignment horizontal="center" readingOrder="1"/>
    </xf>
    <xf numFmtId="0" fontId="25" fillId="5" borderId="10" xfId="0" applyFont="1" applyFill="1" applyBorder="1" applyAlignment="1">
      <alignment horizontal="center" readingOrder="1"/>
    </xf>
    <xf numFmtId="0" fontId="25" fillId="5" borderId="50" xfId="0" applyFont="1" applyFill="1" applyBorder="1" applyAlignment="1">
      <alignment horizontal="center" readingOrder="1"/>
    </xf>
    <xf numFmtId="0" fontId="25" fillId="5" borderId="2" xfId="0" applyFont="1" applyFill="1" applyBorder="1" applyAlignment="1">
      <alignment horizontal="center" readingOrder="1"/>
    </xf>
    <xf numFmtId="0" fontId="2" fillId="0" borderId="0" xfId="0" applyFont="1" applyAlignment="1">
      <alignment horizontal="center" vertical="center"/>
    </xf>
    <xf numFmtId="0" fontId="25" fillId="5" borderId="0" xfId="0" applyFont="1" applyFill="1" applyAlignment="1">
      <alignment horizontal="center" readingOrder="1"/>
    </xf>
    <xf numFmtId="0" fontId="6" fillId="14" borderId="51" xfId="0" applyFont="1" applyFill="1" applyBorder="1" applyAlignment="1">
      <alignment horizontal="center"/>
    </xf>
    <xf numFmtId="15" fontId="0" fillId="0" borderId="12" xfId="0" applyNumberFormat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center" vertical="center"/>
    </xf>
    <xf numFmtId="0" fontId="25" fillId="5" borderId="54" xfId="0" applyFont="1" applyFill="1" applyBorder="1" applyAlignment="1">
      <alignment horizontal="center" readingOrder="1"/>
    </xf>
    <xf numFmtId="0" fontId="2" fillId="3" borderId="55" xfId="0" applyFont="1" applyFill="1" applyBorder="1" applyAlignment="1">
      <alignment horizontal="center" vertical="center"/>
    </xf>
    <xf numFmtId="0" fontId="1" fillId="7" borderId="54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22" fillId="30" borderId="11" xfId="0" applyFont="1" applyFill="1" applyBorder="1" applyAlignment="1">
      <alignment horizontal="center" vertical="center"/>
    </xf>
    <xf numFmtId="0" fontId="21" fillId="30" borderId="11" xfId="3" applyFont="1" applyFill="1" applyBorder="1" applyAlignment="1">
      <alignment horizontal="center" vertical="center"/>
    </xf>
    <xf numFmtId="0" fontId="20" fillId="30" borderId="11" xfId="3" applyFont="1" applyFill="1" applyBorder="1" applyAlignment="1">
      <alignment horizontal="center" vertical="center"/>
    </xf>
    <xf numFmtId="0" fontId="3" fillId="30" borderId="11" xfId="0" applyFont="1" applyFill="1" applyBorder="1" applyAlignment="1">
      <alignment horizontal="center" vertical="center"/>
    </xf>
    <xf numFmtId="0" fontId="20" fillId="30" borderId="9" xfId="3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28" borderId="11" xfId="0" applyFont="1" applyFill="1" applyBorder="1" applyAlignment="1">
      <alignment horizontal="right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10" borderId="0" xfId="0" applyFont="1" applyFill="1"/>
    <xf numFmtId="0" fontId="0" fillId="0" borderId="10" xfId="0" applyBorder="1" applyAlignment="1">
      <alignment vertical="center"/>
    </xf>
    <xf numFmtId="0" fontId="0" fillId="6" borderId="11" xfId="0" applyFill="1" applyBorder="1"/>
    <xf numFmtId="0" fontId="0" fillId="7" borderId="11" xfId="0" applyFill="1" applyBorder="1"/>
    <xf numFmtId="0" fontId="23" fillId="7" borderId="3" xfId="0" applyFont="1" applyFill="1" applyBorder="1" applyAlignment="1">
      <alignment horizontal="center" readingOrder="1"/>
    </xf>
    <xf numFmtId="0" fontId="11" fillId="17" borderId="27" xfId="1" applyBorder="1" applyAlignment="1">
      <alignment horizontal="center" wrapText="1"/>
    </xf>
    <xf numFmtId="0" fontId="29" fillId="17" borderId="2" xfId="1" applyFont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49" xfId="0" applyFont="1" applyFill="1" applyBorder="1" applyAlignment="1">
      <alignment horizontal="center"/>
    </xf>
    <xf numFmtId="0" fontId="1" fillId="7" borderId="50" xfId="0" applyFont="1" applyFill="1" applyBorder="1" applyAlignment="1">
      <alignment horizontal="center"/>
    </xf>
    <xf numFmtId="0" fontId="1" fillId="31" borderId="11" xfId="6" applyFill="1" applyBorder="1" applyAlignment="1">
      <alignment horizontal="center"/>
    </xf>
    <xf numFmtId="0" fontId="0" fillId="15" borderId="0" xfId="0" applyFill="1" applyAlignment="1">
      <alignment horizontal="center" vertical="center"/>
    </xf>
    <xf numFmtId="0" fontId="6" fillId="16" borderId="56" xfId="0" applyFont="1" applyFill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wrapText="1"/>
    </xf>
    <xf numFmtId="0" fontId="1" fillId="7" borderId="48" xfId="0" applyFont="1" applyFill="1" applyBorder="1" applyAlignment="1">
      <alignment horizontal="center"/>
    </xf>
    <xf numFmtId="0" fontId="1" fillId="7" borderId="57" xfId="0" applyFont="1" applyFill="1" applyBorder="1" applyAlignment="1">
      <alignment horizontal="center"/>
    </xf>
    <xf numFmtId="0" fontId="13" fillId="22" borderId="29" xfId="2" applyFill="1" applyBorder="1" applyAlignment="1">
      <alignment horizontal="center"/>
    </xf>
    <xf numFmtId="0" fontId="13" fillId="23" borderId="2" xfId="2" applyFill="1" applyBorder="1" applyAlignment="1">
      <alignment horizontal="center" vertical="center"/>
    </xf>
    <xf numFmtId="0" fontId="13" fillId="22" borderId="42" xfId="2" applyFill="1" applyBorder="1" applyAlignment="1">
      <alignment horizontal="center"/>
    </xf>
    <xf numFmtId="0" fontId="13" fillId="23" borderId="3" xfId="2" applyFill="1" applyBorder="1" applyAlignment="1">
      <alignment horizontal="center" vertical="center"/>
    </xf>
    <xf numFmtId="0" fontId="13" fillId="32" borderId="42" xfId="2" applyFill="1" applyBorder="1" applyAlignment="1">
      <alignment horizontal="center"/>
    </xf>
    <xf numFmtId="0" fontId="11" fillId="17" borderId="46" xfId="1" applyBorder="1" applyAlignment="1">
      <alignment horizontal="center" wrapText="1"/>
    </xf>
    <xf numFmtId="0" fontId="13" fillId="23" borderId="0" xfId="2" applyFill="1" applyBorder="1" applyAlignment="1">
      <alignment horizontal="center" vertical="center"/>
    </xf>
    <xf numFmtId="0" fontId="13" fillId="32" borderId="0" xfId="2" applyFill="1" applyBorder="1" applyAlignment="1">
      <alignment horizontal="center"/>
    </xf>
    <xf numFmtId="0" fontId="0" fillId="31" borderId="0" xfId="0" applyFill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22" borderId="29" xfId="8" applyBorder="1" applyAlignment="1">
      <alignment horizontal="right"/>
    </xf>
    <xf numFmtId="0" fontId="0" fillId="14" borderId="3" xfId="0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11" borderId="11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0" fontId="27" fillId="21" borderId="34" xfId="7" applyFont="1" applyBorder="1" applyAlignment="1">
      <alignment horizontal="center"/>
    </xf>
    <xf numFmtId="0" fontId="27" fillId="21" borderId="35" xfId="7" applyFont="1" applyBorder="1" applyAlignment="1">
      <alignment horizontal="center"/>
    </xf>
    <xf numFmtId="0" fontId="27" fillId="21" borderId="36" xfId="7" applyFont="1" applyBorder="1" applyAlignment="1">
      <alignment horizontal="center"/>
    </xf>
    <xf numFmtId="0" fontId="27" fillId="20" borderId="35" xfId="6" applyFont="1" applyBorder="1" applyAlignment="1">
      <alignment horizontal="center"/>
    </xf>
    <xf numFmtId="0" fontId="27" fillId="18" borderId="33" xfId="4" applyFont="1" applyBorder="1" applyAlignment="1">
      <alignment horizontal="center"/>
    </xf>
    <xf numFmtId="0" fontId="27" fillId="18" borderId="0" xfId="4" applyFont="1" applyBorder="1" applyAlignment="1">
      <alignment horizontal="center"/>
    </xf>
    <xf numFmtId="0" fontId="27" fillId="31" borderId="47" xfId="6" applyFont="1" applyFill="1" applyBorder="1" applyAlignment="1">
      <alignment horizontal="center"/>
    </xf>
    <xf numFmtId="0" fontId="27" fillId="31" borderId="17" xfId="6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27" fillId="6" borderId="47" xfId="6" applyFont="1" applyFill="1" applyBorder="1" applyAlignment="1">
      <alignment horizontal="center"/>
    </xf>
    <xf numFmtId="0" fontId="27" fillId="6" borderId="17" xfId="6" applyFont="1" applyFill="1" applyBorder="1" applyAlignment="1">
      <alignment horizontal="center"/>
    </xf>
    <xf numFmtId="0" fontId="27" fillId="19" borderId="34" xfId="5" applyFont="1" applyBorder="1" applyAlignment="1">
      <alignment horizontal="center"/>
    </xf>
    <xf numFmtId="0" fontId="27" fillId="19" borderId="35" xfId="5" applyFont="1" applyBorder="1" applyAlignment="1">
      <alignment horizontal="center"/>
    </xf>
    <xf numFmtId="0" fontId="27" fillId="19" borderId="36" xfId="5" applyFont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6" fillId="16" borderId="14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0">
    <cellStyle name="40% - Accent1" xfId="4" builtinId="31"/>
    <cellStyle name="40% - Accent2" xfId="5" builtinId="35"/>
    <cellStyle name="40% - Accent6" xfId="7" builtinId="51"/>
    <cellStyle name="60% - Accent4" xfId="6" builtinId="44"/>
    <cellStyle name="60% - Accent6" xfId="8" builtinId="52"/>
    <cellStyle name="Accent2" xfId="1" builtinId="33"/>
    <cellStyle name="Bad" xfId="9" builtinId="27"/>
    <cellStyle name="Hyperlink" xfId="2" builtinId="8"/>
    <cellStyle name="Normal" xfId="0" builtinId="0"/>
    <cellStyle name="Warning Text" xfId="3" builtinId="11"/>
  </cellStyles>
  <dxfs count="8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FDC7CE"/>
      </font>
      <fill>
        <patternFill patternType="solid">
          <bgColor rgb="FFFFC7CE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6CFFA"/>
      <color rgb="FFFCE3E3"/>
      <color rgb="FFFDC7CE"/>
      <color rgb="FFFFC000"/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ms.noroff.no/user/index.php?id=1015" TargetMode="External"/><Relationship Id="rId21" Type="http://schemas.openxmlformats.org/officeDocument/2006/relationships/hyperlink" Target="https://lms.noroff.no/user/index.php?id=1015" TargetMode="External"/><Relationship Id="rId34" Type="http://schemas.openxmlformats.org/officeDocument/2006/relationships/hyperlink" Target="https://lms.noroff.no/user/index.php?id=722" TargetMode="External"/><Relationship Id="rId42" Type="http://schemas.openxmlformats.org/officeDocument/2006/relationships/hyperlink" Target="https://lms.noroff.no/user/index.php?id=722" TargetMode="External"/><Relationship Id="rId47" Type="http://schemas.openxmlformats.org/officeDocument/2006/relationships/hyperlink" Target="https://lms.noroff.no/user/index.php?id=1015" TargetMode="External"/><Relationship Id="rId50" Type="http://schemas.openxmlformats.org/officeDocument/2006/relationships/hyperlink" Target="https://lms.noroff.no/user/index.php?id=1015" TargetMode="External"/><Relationship Id="rId55" Type="http://schemas.openxmlformats.org/officeDocument/2006/relationships/hyperlink" Target="https://learning.noroff.no/my/courses.php" TargetMode="External"/><Relationship Id="rId63" Type="http://schemas.openxmlformats.org/officeDocument/2006/relationships/hyperlink" Target="https://learning.noroff.no/my/courses.php" TargetMode="External"/><Relationship Id="rId7" Type="http://schemas.openxmlformats.org/officeDocument/2006/relationships/hyperlink" Target="https://lms.noroff.no/user/index.php?id=721" TargetMode="External"/><Relationship Id="rId2" Type="http://schemas.openxmlformats.org/officeDocument/2006/relationships/hyperlink" Target="https://noroff.sharepoint.com/:b:/s/Front-endOnlineStaff/EXit9fxEoXhJkcufgj0EyNkBqB-b5ohz-zXvsJkpfMdwOA?e=1dWq1K" TargetMode="External"/><Relationship Id="rId16" Type="http://schemas.openxmlformats.org/officeDocument/2006/relationships/hyperlink" Target="https://lms.noroff.no/user/index.php?id=1015" TargetMode="External"/><Relationship Id="rId29" Type="http://schemas.openxmlformats.org/officeDocument/2006/relationships/hyperlink" Target="https://learning.noroff.no/my/courses.php" TargetMode="External"/><Relationship Id="rId11" Type="http://schemas.openxmlformats.org/officeDocument/2006/relationships/hyperlink" Target="https://lms.noroff.no/user/index.php?id=721" TargetMode="External"/><Relationship Id="rId24" Type="http://schemas.openxmlformats.org/officeDocument/2006/relationships/hyperlink" Target="https://lms.noroff.no/user/index.php?id=1015" TargetMode="External"/><Relationship Id="rId32" Type="http://schemas.openxmlformats.org/officeDocument/2006/relationships/hyperlink" Target="https://lms.noroff.no/user/index.php?id=722" TargetMode="External"/><Relationship Id="rId37" Type="http://schemas.openxmlformats.org/officeDocument/2006/relationships/hyperlink" Target="https://lms.noroff.no/user/index.php?id=1016" TargetMode="External"/><Relationship Id="rId40" Type="http://schemas.openxmlformats.org/officeDocument/2006/relationships/hyperlink" Target="https://learning.noroff.no/my/courses.php" TargetMode="External"/><Relationship Id="rId45" Type="http://schemas.openxmlformats.org/officeDocument/2006/relationships/hyperlink" Target="https://lms.noroff.no/user/index.php?id=1015" TargetMode="External"/><Relationship Id="rId53" Type="http://schemas.openxmlformats.org/officeDocument/2006/relationships/hyperlink" Target="https://lms.noroff.no/user/index.php?id=1015" TargetMode="External"/><Relationship Id="rId58" Type="http://schemas.openxmlformats.org/officeDocument/2006/relationships/hyperlink" Target="https://learning.noroff.no/my/courses.php" TargetMode="External"/><Relationship Id="rId5" Type="http://schemas.openxmlformats.org/officeDocument/2006/relationships/hyperlink" Target="https://lms.noroff.no/user/index.php?id=721" TargetMode="External"/><Relationship Id="rId61" Type="http://schemas.openxmlformats.org/officeDocument/2006/relationships/hyperlink" Target="https://learning.noroff.no/my/courses.php" TargetMode="External"/><Relationship Id="rId19" Type="http://schemas.openxmlformats.org/officeDocument/2006/relationships/hyperlink" Target="https://lms.noroff.no/user/index.php?id=1015" TargetMode="External"/><Relationship Id="rId14" Type="http://schemas.openxmlformats.org/officeDocument/2006/relationships/hyperlink" Target="https://lms.noroff.no/user/index.php?id=721" TargetMode="External"/><Relationship Id="rId22" Type="http://schemas.openxmlformats.org/officeDocument/2006/relationships/hyperlink" Target="https://lms.noroff.no/user/index.php?id=1015" TargetMode="External"/><Relationship Id="rId27" Type="http://schemas.openxmlformats.org/officeDocument/2006/relationships/hyperlink" Target="https://lms.noroff.no/user/index.php?id=1015" TargetMode="External"/><Relationship Id="rId30" Type="http://schemas.openxmlformats.org/officeDocument/2006/relationships/hyperlink" Target="https://learning.noroff.no/my/courses.php" TargetMode="External"/><Relationship Id="rId35" Type="http://schemas.openxmlformats.org/officeDocument/2006/relationships/hyperlink" Target="https://lms.noroff.no/user/index.php?id=1016" TargetMode="External"/><Relationship Id="rId43" Type="http://schemas.openxmlformats.org/officeDocument/2006/relationships/hyperlink" Target="https://lms.noroff.no/user/index.php?id=722" TargetMode="External"/><Relationship Id="rId48" Type="http://schemas.openxmlformats.org/officeDocument/2006/relationships/hyperlink" Target="https://lms.noroff.no/user/index.php?id=1015" TargetMode="External"/><Relationship Id="rId56" Type="http://schemas.openxmlformats.org/officeDocument/2006/relationships/hyperlink" Target="https://learning.noroff.no/my/courses.php" TargetMode="External"/><Relationship Id="rId64" Type="http://schemas.openxmlformats.org/officeDocument/2006/relationships/hyperlink" Target="https://learning.noroff.no/my/courses.php" TargetMode="External"/><Relationship Id="rId8" Type="http://schemas.openxmlformats.org/officeDocument/2006/relationships/hyperlink" Target="https://lms.noroff.no/user/index.php?id=721" TargetMode="External"/><Relationship Id="rId51" Type="http://schemas.openxmlformats.org/officeDocument/2006/relationships/hyperlink" Target="https://lms.noroff.no/user/index.php?id=1015" TargetMode="External"/><Relationship Id="rId3" Type="http://schemas.openxmlformats.org/officeDocument/2006/relationships/hyperlink" Target="https://studiekatalog.edutorium.no/voc/en/programme/PFEU/2024-autumn" TargetMode="External"/><Relationship Id="rId12" Type="http://schemas.openxmlformats.org/officeDocument/2006/relationships/hyperlink" Target="https://lms.noroff.no/user/index.php?id=721" TargetMode="External"/><Relationship Id="rId17" Type="http://schemas.openxmlformats.org/officeDocument/2006/relationships/hyperlink" Target="https://lms.noroff.no/user/index.php?id=1015" TargetMode="External"/><Relationship Id="rId25" Type="http://schemas.openxmlformats.org/officeDocument/2006/relationships/hyperlink" Target="https://lms.noroff.no/user/index.php?id=1015" TargetMode="External"/><Relationship Id="rId33" Type="http://schemas.openxmlformats.org/officeDocument/2006/relationships/hyperlink" Target="https://lms.noroff.no/user/index.php?id=722" TargetMode="External"/><Relationship Id="rId38" Type="http://schemas.openxmlformats.org/officeDocument/2006/relationships/hyperlink" Target="https://learning.noroff.no/my/courses.php" TargetMode="External"/><Relationship Id="rId46" Type="http://schemas.openxmlformats.org/officeDocument/2006/relationships/hyperlink" Target="https://lms.noroff.no/user/index.php?id=1015" TargetMode="External"/><Relationship Id="rId59" Type="http://schemas.openxmlformats.org/officeDocument/2006/relationships/hyperlink" Target="https://learning.noroff.no/my/courses.php" TargetMode="External"/><Relationship Id="rId20" Type="http://schemas.openxmlformats.org/officeDocument/2006/relationships/hyperlink" Target="https://lms.noroff.no/user/index.php?id=1015" TargetMode="External"/><Relationship Id="rId41" Type="http://schemas.openxmlformats.org/officeDocument/2006/relationships/hyperlink" Target="https://lms.noroff.no/user/index.php?id=1016" TargetMode="External"/><Relationship Id="rId54" Type="http://schemas.openxmlformats.org/officeDocument/2006/relationships/hyperlink" Target="https://lms.noroff.no/user/index.php?id=1015" TargetMode="External"/><Relationship Id="rId62" Type="http://schemas.openxmlformats.org/officeDocument/2006/relationships/hyperlink" Target="https://learning.noroff.no/my/courses.php" TargetMode="External"/><Relationship Id="rId1" Type="http://schemas.openxmlformats.org/officeDocument/2006/relationships/hyperlink" Target="https://noroff.sharepoint.com/:b:/s/Front-endOnlineStaff/Edr0_8C2qgNApv1DJhUauOgBXwIDBksQBWSARFXnyC3xAg?e=cCWxBq" TargetMode="External"/><Relationship Id="rId6" Type="http://schemas.openxmlformats.org/officeDocument/2006/relationships/hyperlink" Target="https://lms.noroff.no/user/index.php?id=722" TargetMode="External"/><Relationship Id="rId15" Type="http://schemas.openxmlformats.org/officeDocument/2006/relationships/hyperlink" Target="https://lms.noroff.no/user/index.php?id=1015" TargetMode="External"/><Relationship Id="rId23" Type="http://schemas.openxmlformats.org/officeDocument/2006/relationships/hyperlink" Target="https://lms.noroff.no/user/index.php?id=1015" TargetMode="External"/><Relationship Id="rId28" Type="http://schemas.openxmlformats.org/officeDocument/2006/relationships/hyperlink" Target="https://lms.noroff.no/user/index.php?id=1015" TargetMode="External"/><Relationship Id="rId36" Type="http://schemas.openxmlformats.org/officeDocument/2006/relationships/hyperlink" Target="https://lms.noroff.no/user/index.php?id=1016" TargetMode="External"/><Relationship Id="rId49" Type="http://schemas.openxmlformats.org/officeDocument/2006/relationships/hyperlink" Target="https://lms.noroff.no/user/index.php?id=1015" TargetMode="External"/><Relationship Id="rId57" Type="http://schemas.openxmlformats.org/officeDocument/2006/relationships/hyperlink" Target="https://learning.noroff.no/my/courses.php" TargetMode="External"/><Relationship Id="rId10" Type="http://schemas.openxmlformats.org/officeDocument/2006/relationships/hyperlink" Target="https://lms.noroff.no/user/index.php?id=721" TargetMode="External"/><Relationship Id="rId31" Type="http://schemas.openxmlformats.org/officeDocument/2006/relationships/hyperlink" Target="https://lms.noroff.no/user/index.php?id=722" TargetMode="External"/><Relationship Id="rId44" Type="http://schemas.openxmlformats.org/officeDocument/2006/relationships/hyperlink" Target="https://lms.noroff.no/user/index.php?id=1015" TargetMode="External"/><Relationship Id="rId52" Type="http://schemas.openxmlformats.org/officeDocument/2006/relationships/hyperlink" Target="https://lms.noroff.no/user/index.php?id=1015" TargetMode="External"/><Relationship Id="rId60" Type="http://schemas.openxmlformats.org/officeDocument/2006/relationships/hyperlink" Target="https://learning.noroff.no/my/courses.php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noroff.sharepoint.com/:b:/s/Front-endOnlineStaff/EUzkiJo4fp1Nm1-4FSJQn5MBJ_G-Ud3cVi1QELDQf9Sa-Q?e=ARZbjg" TargetMode="External"/><Relationship Id="rId9" Type="http://schemas.openxmlformats.org/officeDocument/2006/relationships/hyperlink" Target="https://lms.noroff.no/user/index.php?id=721" TargetMode="External"/><Relationship Id="rId13" Type="http://schemas.openxmlformats.org/officeDocument/2006/relationships/hyperlink" Target="https://lms.noroff.no/user/index.php?id=721" TargetMode="External"/><Relationship Id="rId18" Type="http://schemas.openxmlformats.org/officeDocument/2006/relationships/hyperlink" Target="https://lms.noroff.no/user/index.php?id=1015" TargetMode="External"/><Relationship Id="rId39" Type="http://schemas.openxmlformats.org/officeDocument/2006/relationships/hyperlink" Target="https://lms.noroff.no/user/index.php?id=1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7"/>
  <sheetViews>
    <sheetView showGridLines="0" tabSelected="1" zoomScale="190" zoomScaleNormal="190" workbookViewId="0">
      <pane xSplit="3" ySplit="15" topLeftCell="AE139" activePane="bottomRight" state="frozen"/>
      <selection pane="bottomRight" activeCell="AG13" sqref="AG13"/>
      <selection pane="bottomLeft"/>
      <selection pane="topRight"/>
    </sheetView>
  </sheetViews>
  <sheetFormatPr defaultColWidth="8.85546875" defaultRowHeight="15"/>
  <cols>
    <col min="1" max="1" width="24.140625" customWidth="1"/>
    <col min="2" max="2" width="14.7109375" style="16" customWidth="1"/>
    <col min="3" max="3" width="21" customWidth="1"/>
    <col min="4" max="4" width="13.28515625" customWidth="1"/>
    <col min="5" max="5" width="12.42578125" customWidth="1"/>
    <col min="6" max="6" width="11.85546875" customWidth="1"/>
    <col min="7" max="7" width="13.7109375" customWidth="1"/>
    <col min="8" max="8" width="13" customWidth="1"/>
    <col min="9" max="9" width="12.85546875" customWidth="1"/>
    <col min="10" max="10" width="13" customWidth="1"/>
    <col min="11" max="11" width="11.5703125" customWidth="1"/>
    <col min="12" max="12" width="11.28515625" customWidth="1"/>
    <col min="13" max="13" width="13.28515625" customWidth="1"/>
    <col min="14" max="14" width="11.28515625" customWidth="1"/>
    <col min="15" max="15" width="11.7109375" customWidth="1"/>
    <col min="16" max="16" width="12.7109375" customWidth="1"/>
    <col min="17" max="17" width="12.140625" customWidth="1"/>
    <col min="18" max="18" width="11.140625" customWidth="1"/>
    <col min="19" max="19" width="10.28515625" customWidth="1"/>
    <col min="20" max="20" width="10" customWidth="1"/>
    <col min="21" max="21" width="9.7109375" customWidth="1"/>
    <col min="22" max="22" width="11.42578125" customWidth="1"/>
    <col min="23" max="23" width="9.85546875" bestFit="1" customWidth="1"/>
    <col min="24" max="24" width="9.7109375" customWidth="1"/>
    <col min="25" max="27" width="10.28515625" customWidth="1"/>
    <col min="28" max="28" width="11.140625" customWidth="1"/>
    <col min="29" max="29" width="11.28515625" customWidth="1"/>
    <col min="30" max="30" width="10.7109375" customWidth="1"/>
    <col min="31" max="31" width="9.85546875" bestFit="1" customWidth="1"/>
    <col min="32" max="32" width="12.28515625" customWidth="1"/>
    <col min="33" max="33" width="9.5703125" bestFit="1" customWidth="1"/>
    <col min="34" max="34" width="9.7109375" bestFit="1" customWidth="1"/>
    <col min="35" max="35" width="9.7109375" customWidth="1"/>
    <col min="36" max="36" width="9.28515625" bestFit="1" customWidth="1"/>
    <col min="39" max="39" width="9.85546875" bestFit="1" customWidth="1"/>
    <col min="40" max="40" width="10" bestFit="1" customWidth="1"/>
    <col min="41" max="41" width="9" bestFit="1" customWidth="1"/>
    <col min="42" max="42" width="9.140625" bestFit="1" customWidth="1"/>
  </cols>
  <sheetData>
    <row r="1" spans="1:44" ht="15" customHeight="1">
      <c r="A1" s="232" t="s">
        <v>0</v>
      </c>
      <c r="B1" s="233"/>
      <c r="C1" s="234"/>
      <c r="D1" s="194"/>
      <c r="F1" s="195"/>
      <c r="G1" s="197" t="s">
        <v>1</v>
      </c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W1" s="240"/>
      <c r="X1" s="240"/>
      <c r="Y1" s="240"/>
      <c r="Z1" s="223"/>
      <c r="AA1" s="223"/>
      <c r="AB1" s="223"/>
    </row>
    <row r="2" spans="1:44" ht="15" customHeight="1">
      <c r="A2" s="235" t="s">
        <v>2</v>
      </c>
      <c r="B2" s="236"/>
      <c r="C2" s="237"/>
      <c r="D2" s="194"/>
      <c r="E2" s="196"/>
      <c r="F2" s="250" t="s">
        <v>3</v>
      </c>
      <c r="G2" s="251"/>
      <c r="H2" s="198" t="s">
        <v>4</v>
      </c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W2" s="240"/>
      <c r="X2" s="240"/>
      <c r="Y2" s="240"/>
      <c r="Z2" s="223"/>
      <c r="AA2" s="223"/>
      <c r="AB2" s="223"/>
    </row>
    <row r="3" spans="1:44">
      <c r="A3" s="239" t="s">
        <v>5</v>
      </c>
      <c r="B3" s="239"/>
      <c r="C3" s="239"/>
      <c r="E3" s="196"/>
      <c r="F3" s="252" t="s">
        <v>6</v>
      </c>
      <c r="G3" s="253"/>
      <c r="H3" s="199" t="s">
        <v>7</v>
      </c>
    </row>
    <row r="4" spans="1:44" ht="15" customHeight="1">
      <c r="A4" s="48"/>
      <c r="B4" s="48"/>
      <c r="C4" s="48"/>
      <c r="D4" s="249" t="s">
        <v>8</v>
      </c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192"/>
      <c r="W4" s="241" t="s">
        <v>9</v>
      </c>
      <c r="X4" s="242"/>
      <c r="Y4" s="243"/>
      <c r="Z4" s="224">
        <f>SUM(H10:L10)+SUM(R10:AH10)+N10+P10</f>
        <v>240</v>
      </c>
      <c r="AA4" s="225"/>
      <c r="AB4" s="226"/>
    </row>
    <row r="5" spans="1:44" ht="15" customHeight="1">
      <c r="A5" s="53" t="s">
        <v>10</v>
      </c>
      <c r="B5" s="48"/>
      <c r="C5" s="48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W5" s="244"/>
      <c r="X5" s="240"/>
      <c r="Y5" s="245"/>
      <c r="Z5" s="227"/>
      <c r="AA5" s="223"/>
      <c r="AB5" s="228"/>
    </row>
    <row r="6" spans="1:44" ht="15.75" customHeight="1">
      <c r="A6" s="53" t="s">
        <v>11</v>
      </c>
      <c r="B6" s="48"/>
      <c r="F6" s="54"/>
      <c r="I6" s="54"/>
      <c r="J6" s="54"/>
      <c r="K6" s="54"/>
      <c r="L6" s="54"/>
      <c r="N6" s="54"/>
      <c r="O6" s="54"/>
      <c r="P6" s="54"/>
      <c r="W6" s="246"/>
      <c r="X6" s="247"/>
      <c r="Y6" s="248"/>
      <c r="Z6" s="229"/>
      <c r="AA6" s="230"/>
      <c r="AB6" s="231"/>
    </row>
    <row r="7" spans="1:44" ht="32.25" customHeight="1">
      <c r="A7" s="53" t="s">
        <v>12</v>
      </c>
      <c r="B7" s="48"/>
      <c r="C7" s="193" t="s">
        <v>13</v>
      </c>
      <c r="E7" s="90" t="s">
        <v>14</v>
      </c>
      <c r="F7" s="91"/>
      <c r="G7" s="93" t="s">
        <v>14</v>
      </c>
      <c r="H7" s="187" t="s">
        <v>14</v>
      </c>
      <c r="I7" s="188" t="s">
        <v>14</v>
      </c>
      <c r="J7" s="189"/>
      <c r="K7" s="189"/>
      <c r="L7" s="189" t="s">
        <v>14</v>
      </c>
      <c r="M7" s="92"/>
      <c r="N7" s="188" t="s">
        <v>14</v>
      </c>
      <c r="O7" s="93" t="s">
        <v>14</v>
      </c>
      <c r="P7" s="190" t="s">
        <v>14</v>
      </c>
      <c r="Q7" s="188" t="s">
        <v>14</v>
      </c>
      <c r="R7" s="190" t="s">
        <v>14</v>
      </c>
      <c r="S7" s="188" t="s">
        <v>14</v>
      </c>
      <c r="T7" s="189" t="s">
        <v>14</v>
      </c>
      <c r="U7" s="188" t="s">
        <v>14</v>
      </c>
      <c r="V7" s="189"/>
      <c r="W7" s="188" t="s">
        <v>14</v>
      </c>
      <c r="X7" s="190" t="s">
        <v>14</v>
      </c>
      <c r="Y7" s="189" t="s">
        <v>14</v>
      </c>
      <c r="Z7" s="190" t="s">
        <v>14</v>
      </c>
      <c r="AA7" s="189" t="s">
        <v>14</v>
      </c>
      <c r="AB7" s="191" t="s">
        <v>14</v>
      </c>
      <c r="AC7" s="190" t="s">
        <v>14</v>
      </c>
      <c r="AD7" s="190" t="s">
        <v>14</v>
      </c>
      <c r="AE7" s="190" t="s">
        <v>14</v>
      </c>
      <c r="AF7" s="190" t="s">
        <v>14</v>
      </c>
      <c r="AG7" s="190" t="s">
        <v>14</v>
      </c>
      <c r="AH7" s="190" t="s">
        <v>14</v>
      </c>
      <c r="AI7" s="190" t="s">
        <v>14</v>
      </c>
      <c r="AJ7" s="190" t="s">
        <v>14</v>
      </c>
      <c r="AK7" s="190" t="s">
        <v>14</v>
      </c>
      <c r="AL7" s="190" t="s">
        <v>14</v>
      </c>
    </row>
    <row r="8" spans="1:44" ht="15.75">
      <c r="A8" s="53" t="s">
        <v>15</v>
      </c>
      <c r="B8" s="48"/>
      <c r="C8" s="82" t="s">
        <v>16</v>
      </c>
      <c r="E8" s="79"/>
      <c r="F8" s="79"/>
      <c r="G8" s="79"/>
      <c r="H8" s="79"/>
      <c r="I8" s="137"/>
      <c r="J8" s="137"/>
      <c r="K8" s="137"/>
      <c r="L8" s="137"/>
      <c r="M8" s="137"/>
      <c r="N8" s="137"/>
      <c r="O8" s="137"/>
      <c r="P8" s="137"/>
      <c r="Q8" s="148" t="s">
        <v>17</v>
      </c>
      <c r="R8" s="149"/>
      <c r="S8" s="149" t="s">
        <v>17</v>
      </c>
      <c r="T8" s="150"/>
      <c r="U8" s="149"/>
      <c r="V8" s="149"/>
      <c r="W8" s="149"/>
      <c r="X8" s="149"/>
      <c r="Y8" s="149" t="s">
        <v>17</v>
      </c>
      <c r="Z8" s="149" t="s">
        <v>17</v>
      </c>
      <c r="AA8" s="149" t="s">
        <v>17</v>
      </c>
      <c r="AB8" s="155" t="s">
        <v>17</v>
      </c>
      <c r="AC8" s="80" t="s">
        <v>17</v>
      </c>
      <c r="AD8" s="80" t="s">
        <v>17</v>
      </c>
    </row>
    <row r="9" spans="1:44" ht="15.75">
      <c r="A9" s="48"/>
      <c r="B9" s="48"/>
      <c r="C9" s="48"/>
      <c r="E9" s="258" t="s">
        <v>18</v>
      </c>
      <c r="F9" s="259"/>
      <c r="G9" s="259"/>
      <c r="H9" s="259"/>
      <c r="I9" s="267" t="s">
        <v>19</v>
      </c>
      <c r="J9" s="268"/>
      <c r="K9" s="268"/>
      <c r="L9" s="269"/>
      <c r="M9" s="257" t="s">
        <v>20</v>
      </c>
      <c r="N9" s="257"/>
      <c r="O9" s="257"/>
      <c r="P9" s="257"/>
      <c r="Q9" s="257"/>
      <c r="R9" s="257"/>
      <c r="S9" s="257"/>
      <c r="T9" s="257"/>
      <c r="U9" s="254" t="s">
        <v>21</v>
      </c>
      <c r="V9" s="255"/>
      <c r="W9" s="255"/>
      <c r="X9" s="255"/>
      <c r="Y9" s="255"/>
      <c r="Z9" s="255"/>
      <c r="AA9" s="255"/>
      <c r="AB9" s="256"/>
      <c r="AC9" s="265" t="s">
        <v>22</v>
      </c>
      <c r="AD9" s="266"/>
      <c r="AE9" s="266"/>
      <c r="AF9" s="266"/>
      <c r="AG9" s="266"/>
      <c r="AH9" s="266"/>
      <c r="AI9" s="266"/>
      <c r="AJ9" s="266"/>
      <c r="AK9" s="260" t="s">
        <v>23</v>
      </c>
      <c r="AL9" s="261"/>
      <c r="AM9" s="261"/>
      <c r="AN9" s="261"/>
      <c r="AO9" s="261"/>
      <c r="AP9" s="261"/>
      <c r="AQ9" s="261"/>
      <c r="AR9" s="261"/>
    </row>
    <row r="10" spans="1:44" ht="15.75">
      <c r="A10" s="48"/>
      <c r="B10" s="48"/>
      <c r="C10" s="83" t="s">
        <v>24</v>
      </c>
      <c r="D10" s="65"/>
      <c r="E10" s="84">
        <v>0</v>
      </c>
      <c r="F10" s="84">
        <v>0</v>
      </c>
      <c r="G10" s="84">
        <v>0</v>
      </c>
      <c r="H10" s="135">
        <v>4</v>
      </c>
      <c r="I10" s="129">
        <v>4</v>
      </c>
      <c r="J10" s="85">
        <v>6</v>
      </c>
      <c r="K10" s="85">
        <v>10</v>
      </c>
      <c r="L10" s="130">
        <v>13</v>
      </c>
      <c r="M10" s="136">
        <v>0</v>
      </c>
      <c r="N10" s="81">
        <v>8</v>
      </c>
      <c r="O10" s="81">
        <v>0</v>
      </c>
      <c r="P10" s="81">
        <v>7</v>
      </c>
      <c r="Q10" s="127">
        <v>0</v>
      </c>
      <c r="R10" s="81">
        <v>14</v>
      </c>
      <c r="S10" s="81">
        <v>0</v>
      </c>
      <c r="T10" s="145">
        <v>2</v>
      </c>
      <c r="U10" s="151">
        <v>17</v>
      </c>
      <c r="V10" s="86">
        <v>7</v>
      </c>
      <c r="W10" s="86">
        <v>12</v>
      </c>
      <c r="X10" s="86">
        <v>2</v>
      </c>
      <c r="Y10" s="86">
        <v>39</v>
      </c>
      <c r="Z10" s="86">
        <v>11</v>
      </c>
      <c r="AA10" s="86">
        <v>5</v>
      </c>
      <c r="AB10" s="152">
        <v>4</v>
      </c>
      <c r="AC10" s="154">
        <v>18</v>
      </c>
      <c r="AD10" s="143">
        <v>4</v>
      </c>
      <c r="AE10" s="143">
        <v>16</v>
      </c>
      <c r="AF10" s="144">
        <v>5</v>
      </c>
      <c r="AG10" s="81">
        <v>26</v>
      </c>
      <c r="AH10" s="81">
        <v>6</v>
      </c>
      <c r="AI10" s="81">
        <v>7</v>
      </c>
      <c r="AJ10" s="81">
        <v>6</v>
      </c>
      <c r="AK10" s="206">
        <v>12</v>
      </c>
      <c r="AL10" s="206">
        <v>3</v>
      </c>
      <c r="AM10" s="206">
        <v>6</v>
      </c>
      <c r="AN10" s="206">
        <v>3</v>
      </c>
      <c r="AO10" s="206"/>
      <c r="AP10" s="206"/>
      <c r="AQ10" s="206"/>
      <c r="AR10" s="206"/>
    </row>
    <row r="11" spans="1:44" ht="15.75">
      <c r="B11"/>
      <c r="C11" s="87" t="s">
        <v>25</v>
      </c>
      <c r="D11" s="58" t="s">
        <v>26</v>
      </c>
      <c r="E11" s="58" t="s">
        <v>26</v>
      </c>
      <c r="F11" s="58" t="s">
        <v>26</v>
      </c>
      <c r="G11" s="58" t="s">
        <v>27</v>
      </c>
      <c r="H11" s="60" t="s">
        <v>27</v>
      </c>
      <c r="I11" s="131" t="s">
        <v>27</v>
      </c>
      <c r="J11" s="58" t="s">
        <v>27</v>
      </c>
      <c r="K11" s="58" t="s">
        <v>27</v>
      </c>
      <c r="L11" s="132" t="s">
        <v>27</v>
      </c>
      <c r="M11" s="62" t="s">
        <v>27</v>
      </c>
      <c r="N11" s="58" t="s">
        <v>27</v>
      </c>
      <c r="O11" s="58" t="s">
        <v>27</v>
      </c>
      <c r="P11" s="60" t="s">
        <v>27</v>
      </c>
      <c r="Q11" s="128" t="s">
        <v>28</v>
      </c>
      <c r="R11" s="62" t="s">
        <v>29</v>
      </c>
      <c r="S11" s="62" t="s">
        <v>28</v>
      </c>
      <c r="T11" s="153" t="s">
        <v>28</v>
      </c>
      <c r="U11" s="131" t="s">
        <v>28</v>
      </c>
      <c r="V11" s="62" t="s">
        <v>28</v>
      </c>
      <c r="W11" s="62" t="s">
        <v>29</v>
      </c>
      <c r="X11" s="62" t="s">
        <v>29</v>
      </c>
      <c r="Y11" s="62" t="s">
        <v>28</v>
      </c>
      <c r="Z11" s="58" t="s">
        <v>28</v>
      </c>
      <c r="AA11" s="58" t="s">
        <v>28</v>
      </c>
      <c r="AB11" s="132" t="s">
        <v>28</v>
      </c>
      <c r="AC11" s="62" t="s">
        <v>28</v>
      </c>
      <c r="AD11" s="59" t="s">
        <v>28</v>
      </c>
      <c r="AE11" s="202" t="s">
        <v>30</v>
      </c>
      <c r="AF11" s="60" t="s">
        <v>28</v>
      </c>
      <c r="AG11" s="202" t="s">
        <v>30</v>
      </c>
      <c r="AH11" s="202" t="s">
        <v>30</v>
      </c>
      <c r="AI11" s="202" t="s">
        <v>30</v>
      </c>
      <c r="AJ11" s="202" t="s">
        <v>30</v>
      </c>
      <c r="AK11" s="202" t="s">
        <v>30</v>
      </c>
      <c r="AL11" s="202" t="s">
        <v>30</v>
      </c>
      <c r="AM11" s="202" t="s">
        <v>30</v>
      </c>
      <c r="AN11" s="202" t="s">
        <v>30</v>
      </c>
      <c r="AO11" s="202" t="s">
        <v>30</v>
      </c>
      <c r="AP11" s="202" t="s">
        <v>30</v>
      </c>
      <c r="AQ11" s="202" t="s">
        <v>30</v>
      </c>
      <c r="AR11" s="202" t="s">
        <v>30</v>
      </c>
    </row>
    <row r="12" spans="1:44" ht="32.25">
      <c r="B12"/>
      <c r="C12" s="50" t="s">
        <v>31</v>
      </c>
      <c r="D12" s="52" t="s">
        <v>32</v>
      </c>
      <c r="E12" s="52" t="s">
        <v>32</v>
      </c>
      <c r="F12" s="52" t="s">
        <v>32</v>
      </c>
      <c r="G12" s="52" t="s">
        <v>32</v>
      </c>
      <c r="H12" s="61" t="s">
        <v>32</v>
      </c>
      <c r="I12" s="133" t="s">
        <v>32</v>
      </c>
      <c r="J12" s="201" t="s">
        <v>33</v>
      </c>
      <c r="K12" s="201" t="s">
        <v>33</v>
      </c>
      <c r="L12" s="201" t="s">
        <v>33</v>
      </c>
      <c r="M12" s="147" t="s">
        <v>32</v>
      </c>
      <c r="N12" s="201" t="s">
        <v>33</v>
      </c>
      <c r="O12" s="134" t="s">
        <v>32</v>
      </c>
      <c r="P12" s="201" t="s">
        <v>33</v>
      </c>
      <c r="Q12" s="146" t="s">
        <v>32</v>
      </c>
      <c r="R12" s="201" t="s">
        <v>33</v>
      </c>
      <c r="S12" s="147" t="s">
        <v>32</v>
      </c>
      <c r="T12" s="219" t="s">
        <v>33</v>
      </c>
      <c r="U12" s="133" t="s">
        <v>32</v>
      </c>
      <c r="V12" s="201" t="s">
        <v>33</v>
      </c>
      <c r="W12" s="201" t="s">
        <v>33</v>
      </c>
      <c r="X12" s="201" t="s">
        <v>33</v>
      </c>
      <c r="Y12" s="201" t="s">
        <v>33</v>
      </c>
      <c r="Z12" s="201" t="s">
        <v>33</v>
      </c>
      <c r="AA12" s="201" t="s">
        <v>33</v>
      </c>
      <c r="AB12" s="201" t="s">
        <v>33</v>
      </c>
      <c r="AC12" s="201" t="s">
        <v>33</v>
      </c>
      <c r="AD12" s="201" t="s">
        <v>33</v>
      </c>
      <c r="AE12" s="201" t="s">
        <v>33</v>
      </c>
      <c r="AF12" s="201" t="s">
        <v>33</v>
      </c>
      <c r="AG12" s="201" t="s">
        <v>33</v>
      </c>
      <c r="AH12" s="201" t="s">
        <v>33</v>
      </c>
      <c r="AI12" s="201" t="s">
        <v>33</v>
      </c>
      <c r="AJ12" s="201" t="s">
        <v>33</v>
      </c>
      <c r="AK12" s="201" t="s">
        <v>33</v>
      </c>
      <c r="AL12" s="201" t="s">
        <v>33</v>
      </c>
      <c r="AM12" s="201" t="s">
        <v>33</v>
      </c>
      <c r="AN12" s="201" t="s">
        <v>33</v>
      </c>
      <c r="AO12" s="201" t="s">
        <v>33</v>
      </c>
      <c r="AP12" s="201" t="s">
        <v>33</v>
      </c>
      <c r="AQ12" s="201" t="s">
        <v>33</v>
      </c>
      <c r="AR12" s="201" t="s">
        <v>33</v>
      </c>
    </row>
    <row r="13" spans="1:44" ht="30.75">
      <c r="B13"/>
      <c r="J13" s="222" t="s">
        <v>34</v>
      </c>
      <c r="K13" s="222" t="s">
        <v>34</v>
      </c>
      <c r="L13" s="222" t="s">
        <v>34</v>
      </c>
      <c r="N13" s="222" t="s">
        <v>34</v>
      </c>
      <c r="P13" s="222" t="s">
        <v>34</v>
      </c>
    </row>
    <row r="14" spans="1:44" ht="14.25" customHeight="1">
      <c r="B14" s="238" t="s">
        <v>35</v>
      </c>
      <c r="C14" s="238"/>
      <c r="D14" s="66" t="s">
        <v>36</v>
      </c>
      <c r="E14" s="66" t="s">
        <v>37</v>
      </c>
      <c r="F14" s="67" t="s">
        <v>38</v>
      </c>
      <c r="G14" s="66" t="s">
        <v>39</v>
      </c>
      <c r="H14" s="66" t="s">
        <v>40</v>
      </c>
      <c r="I14" s="66" t="s">
        <v>41</v>
      </c>
      <c r="J14" s="66" t="s">
        <v>42</v>
      </c>
      <c r="K14" s="66" t="s">
        <v>43</v>
      </c>
      <c r="L14" s="214" t="s">
        <v>44</v>
      </c>
      <c r="M14" s="214" t="s">
        <v>45</v>
      </c>
      <c r="N14" s="214" t="s">
        <v>46</v>
      </c>
      <c r="O14" s="214" t="s">
        <v>47</v>
      </c>
      <c r="P14" s="214" t="s">
        <v>48</v>
      </c>
      <c r="Q14" s="214" t="s">
        <v>49</v>
      </c>
      <c r="R14" s="214" t="s">
        <v>50</v>
      </c>
      <c r="S14" s="214" t="s">
        <v>51</v>
      </c>
      <c r="T14" s="214" t="s">
        <v>52</v>
      </c>
      <c r="U14" s="214" t="s">
        <v>53</v>
      </c>
      <c r="V14" s="214" t="s">
        <v>54</v>
      </c>
      <c r="W14" s="214" t="s">
        <v>55</v>
      </c>
      <c r="X14" s="214" t="s">
        <v>56</v>
      </c>
      <c r="Y14" s="214" t="s">
        <v>57</v>
      </c>
      <c r="Z14" s="214" t="s">
        <v>58</v>
      </c>
      <c r="AA14" s="214" t="s">
        <v>59</v>
      </c>
      <c r="AB14" s="214" t="s">
        <v>60</v>
      </c>
      <c r="AC14" s="214" t="s">
        <v>61</v>
      </c>
      <c r="AD14" s="214" t="s">
        <v>62</v>
      </c>
      <c r="AE14" s="214" t="s">
        <v>63</v>
      </c>
      <c r="AF14" s="216" t="s">
        <v>64</v>
      </c>
      <c r="AG14" s="216" t="s">
        <v>65</v>
      </c>
      <c r="AH14" s="216" t="s">
        <v>66</v>
      </c>
      <c r="AI14" s="216" t="s">
        <v>67</v>
      </c>
      <c r="AJ14" s="216" t="s">
        <v>68</v>
      </c>
      <c r="AK14" s="216" t="s">
        <v>69</v>
      </c>
      <c r="AL14" s="216" t="s">
        <v>70</v>
      </c>
      <c r="AM14" s="216" t="s">
        <v>71</v>
      </c>
      <c r="AN14" s="216" t="s">
        <v>72</v>
      </c>
      <c r="AO14" t="s">
        <v>73</v>
      </c>
      <c r="AP14" t="s">
        <v>74</v>
      </c>
      <c r="AQ14" t="s">
        <v>75</v>
      </c>
      <c r="AR14" t="s">
        <v>76</v>
      </c>
    </row>
    <row r="15" spans="1:44" ht="15.75">
      <c r="A15" s="2"/>
      <c r="B15" s="68"/>
      <c r="C15" s="69" t="s">
        <v>77</v>
      </c>
      <c r="D15" s="70" t="s">
        <v>78</v>
      </c>
      <c r="E15" s="70" t="s">
        <v>46</v>
      </c>
      <c r="F15" s="70" t="s">
        <v>46</v>
      </c>
      <c r="G15" s="104" t="s">
        <v>50</v>
      </c>
      <c r="H15" s="104" t="s">
        <v>52</v>
      </c>
      <c r="I15" s="104" t="s">
        <v>54</v>
      </c>
      <c r="J15" s="215" t="s">
        <v>56</v>
      </c>
      <c r="K15" s="215" t="s">
        <v>58</v>
      </c>
      <c r="L15" s="215" t="s">
        <v>60</v>
      </c>
      <c r="M15" s="215" t="s">
        <v>53</v>
      </c>
      <c r="N15" s="215" t="s">
        <v>62</v>
      </c>
      <c r="O15" s="215" t="s">
        <v>55</v>
      </c>
      <c r="P15" s="215" t="s">
        <v>64</v>
      </c>
      <c r="Q15" s="215" t="s">
        <v>49</v>
      </c>
      <c r="R15" s="215" t="s">
        <v>50</v>
      </c>
      <c r="S15" s="215" t="s">
        <v>79</v>
      </c>
      <c r="T15" s="215" t="s">
        <v>52</v>
      </c>
      <c r="U15" s="215" t="s">
        <v>53</v>
      </c>
      <c r="V15" s="215" t="s">
        <v>54</v>
      </c>
      <c r="W15" s="215" t="s">
        <v>55</v>
      </c>
      <c r="X15" s="215" t="s">
        <v>56</v>
      </c>
      <c r="Y15" s="215" t="s">
        <v>57</v>
      </c>
      <c r="Z15" s="215" t="s">
        <v>58</v>
      </c>
      <c r="AA15" s="215" t="s">
        <v>80</v>
      </c>
      <c r="AB15" s="215" t="s">
        <v>81</v>
      </c>
      <c r="AC15" s="217" t="s">
        <v>82</v>
      </c>
      <c r="AD15" s="217" t="s">
        <v>83</v>
      </c>
      <c r="AE15" s="217" t="s">
        <v>84</v>
      </c>
      <c r="AF15" s="215" t="s">
        <v>85</v>
      </c>
      <c r="AG15" s="218" t="s">
        <v>65</v>
      </c>
      <c r="AH15" s="218" t="s">
        <v>66</v>
      </c>
      <c r="AI15" s="218" t="s">
        <v>67</v>
      </c>
      <c r="AJ15" s="218" t="s">
        <v>68</v>
      </c>
      <c r="AK15" s="218" t="s">
        <v>69</v>
      </c>
      <c r="AL15" s="218" t="s">
        <v>70</v>
      </c>
      <c r="AM15" s="218" t="s">
        <v>71</v>
      </c>
      <c r="AN15" s="218" t="s">
        <v>72</v>
      </c>
    </row>
    <row r="16" spans="1:44" ht="15.75">
      <c r="A16" s="172"/>
      <c r="B16" s="68" t="s">
        <v>86</v>
      </c>
      <c r="C16" s="69" t="s">
        <v>87</v>
      </c>
      <c r="D16" s="70"/>
      <c r="E16" s="70"/>
      <c r="F16" s="70"/>
      <c r="G16" s="104"/>
      <c r="H16" s="104"/>
      <c r="I16" s="104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20"/>
      <c r="AB16" s="220"/>
      <c r="AC16" s="220"/>
      <c r="AD16" s="220"/>
      <c r="AE16" s="220"/>
      <c r="AF16" s="220"/>
      <c r="AG16" s="221"/>
      <c r="AH16" s="221"/>
      <c r="AI16" s="221"/>
      <c r="AJ16" s="221"/>
      <c r="AK16" s="221"/>
      <c r="AL16" s="221"/>
      <c r="AM16" s="221"/>
      <c r="AN16" s="221"/>
    </row>
    <row r="17" spans="1:30" ht="15.75">
      <c r="A17" s="26" t="s">
        <v>88</v>
      </c>
      <c r="B17" s="43">
        <v>45516</v>
      </c>
      <c r="C17" s="46" t="s">
        <v>89</v>
      </c>
      <c r="D17" s="49" t="s">
        <v>90</v>
      </c>
      <c r="E17" s="3" t="s">
        <v>91</v>
      </c>
      <c r="F17" s="98" t="s">
        <v>92</v>
      </c>
      <c r="G17" s="100" t="s">
        <v>93</v>
      </c>
      <c r="H17" s="98" t="s">
        <v>94</v>
      </c>
      <c r="I17" s="98" t="s">
        <v>95</v>
      </c>
      <c r="J17" s="98" t="s">
        <v>96</v>
      </c>
      <c r="K17" s="100" t="s">
        <v>97</v>
      </c>
      <c r="L17" s="98" t="s">
        <v>90</v>
      </c>
      <c r="M17" s="98" t="s">
        <v>98</v>
      </c>
      <c r="N17" s="102" t="s">
        <v>99</v>
      </c>
      <c r="O17" s="99" t="s">
        <v>100</v>
      </c>
      <c r="P17" s="100" t="s">
        <v>101</v>
      </c>
      <c r="Q17" s="100" t="s">
        <v>97</v>
      </c>
      <c r="R17" s="102" t="s">
        <v>102</v>
      </c>
      <c r="S17" s="99" t="s">
        <v>103</v>
      </c>
      <c r="T17" s="98" t="s">
        <v>104</v>
      </c>
      <c r="U17" s="98" t="s">
        <v>105</v>
      </c>
      <c r="V17" s="99" t="s">
        <v>106</v>
      </c>
      <c r="W17" s="100" t="s">
        <v>107</v>
      </c>
      <c r="X17" s="100" t="s">
        <v>108</v>
      </c>
      <c r="Y17" s="100" t="s">
        <v>97</v>
      </c>
      <c r="Z17" s="100" t="s">
        <v>97</v>
      </c>
      <c r="AA17" s="124"/>
      <c r="AB17" s="124"/>
      <c r="AC17" s="124"/>
      <c r="AD17" s="124"/>
    </row>
    <row r="18" spans="1:30" ht="15.75">
      <c r="A18" s="41"/>
      <c r="B18" s="42">
        <f>B17+7</f>
        <v>45523</v>
      </c>
      <c r="C18" s="47" t="s">
        <v>109</v>
      </c>
      <c r="D18" s="49" t="s">
        <v>90</v>
      </c>
      <c r="E18" s="3" t="s">
        <v>91</v>
      </c>
      <c r="F18" s="98" t="s">
        <v>110</v>
      </c>
      <c r="G18" s="100" t="s">
        <v>93</v>
      </c>
      <c r="H18" s="98" t="s">
        <v>94</v>
      </c>
      <c r="I18" s="99" t="s">
        <v>100</v>
      </c>
      <c r="J18" s="98" t="s">
        <v>111</v>
      </c>
      <c r="K18" s="100" t="s">
        <v>97</v>
      </c>
      <c r="L18" s="98" t="s">
        <v>90</v>
      </c>
      <c r="M18" s="98" t="s">
        <v>112</v>
      </c>
      <c r="N18" s="102" t="s">
        <v>99</v>
      </c>
      <c r="O18" s="100" t="s">
        <v>113</v>
      </c>
      <c r="P18" s="100" t="s">
        <v>101</v>
      </c>
      <c r="Q18" s="99" t="s">
        <v>114</v>
      </c>
      <c r="R18" s="102" t="s">
        <v>102</v>
      </c>
      <c r="S18" s="100" t="s">
        <v>115</v>
      </c>
      <c r="T18" s="98" t="s">
        <v>116</v>
      </c>
      <c r="U18" s="98" t="s">
        <v>117</v>
      </c>
      <c r="V18" s="99" t="s">
        <v>106</v>
      </c>
      <c r="W18" s="99" t="s">
        <v>118</v>
      </c>
      <c r="X18" s="100" t="s">
        <v>108</v>
      </c>
      <c r="Y18" s="100" t="s">
        <v>119</v>
      </c>
      <c r="Z18" s="100" t="s">
        <v>97</v>
      </c>
      <c r="AA18" s="124"/>
      <c r="AB18" s="124"/>
      <c r="AC18" s="124"/>
      <c r="AD18" s="124"/>
    </row>
    <row r="19" spans="1:30" ht="15.75">
      <c r="A19" s="41"/>
      <c r="B19" s="42">
        <f t="shared" ref="B19:B35" si="0">B18+7</f>
        <v>45530</v>
      </c>
      <c r="C19" s="23" t="s">
        <v>120</v>
      </c>
      <c r="D19" s="49" t="s">
        <v>121</v>
      </c>
      <c r="E19" s="49" t="s">
        <v>122</v>
      </c>
      <c r="F19" s="98" t="s">
        <v>110</v>
      </c>
      <c r="G19" s="98" t="s">
        <v>98</v>
      </c>
      <c r="H19" s="99" t="s">
        <v>123</v>
      </c>
      <c r="I19" s="99" t="s">
        <v>100</v>
      </c>
      <c r="J19" s="98" t="s">
        <v>111</v>
      </c>
      <c r="K19" s="100" t="s">
        <v>124</v>
      </c>
      <c r="L19" s="98" t="s">
        <v>121</v>
      </c>
      <c r="M19" s="99" t="s">
        <v>125</v>
      </c>
      <c r="N19" s="102" t="s">
        <v>126</v>
      </c>
      <c r="O19" s="98" t="s">
        <v>127</v>
      </c>
      <c r="P19" s="102" t="s">
        <v>128</v>
      </c>
      <c r="Q19" s="103" t="s">
        <v>129</v>
      </c>
      <c r="R19" s="102" t="s">
        <v>130</v>
      </c>
      <c r="S19" s="98" t="s">
        <v>131</v>
      </c>
      <c r="T19" s="98" t="s">
        <v>116</v>
      </c>
      <c r="U19" s="98" t="s">
        <v>132</v>
      </c>
      <c r="V19" s="100" t="s">
        <v>107</v>
      </c>
      <c r="W19" s="100" t="s">
        <v>133</v>
      </c>
      <c r="X19" s="98" t="s">
        <v>134</v>
      </c>
      <c r="Y19" s="98" t="s">
        <v>135</v>
      </c>
      <c r="Z19" s="100" t="s">
        <v>119</v>
      </c>
      <c r="AA19" s="124"/>
      <c r="AB19" s="124"/>
      <c r="AC19" s="124"/>
      <c r="AD19" s="124"/>
    </row>
    <row r="20" spans="1:30" ht="15.75">
      <c r="B20" s="42">
        <f t="shared" si="0"/>
        <v>45537</v>
      </c>
      <c r="C20" s="23" t="s">
        <v>136</v>
      </c>
      <c r="D20" s="49" t="s">
        <v>121</v>
      </c>
      <c r="E20" s="49" t="s">
        <v>122</v>
      </c>
      <c r="F20" s="98" t="s">
        <v>137</v>
      </c>
      <c r="G20" s="98" t="s">
        <v>98</v>
      </c>
      <c r="H20" s="99" t="s">
        <v>123</v>
      </c>
      <c r="I20" s="100" t="s">
        <v>113</v>
      </c>
      <c r="J20" s="99" t="s">
        <v>138</v>
      </c>
      <c r="K20" s="100" t="s">
        <v>124</v>
      </c>
      <c r="L20" s="98" t="s">
        <v>121</v>
      </c>
      <c r="M20" s="100" t="s">
        <v>139</v>
      </c>
      <c r="N20" s="102" t="s">
        <v>126</v>
      </c>
      <c r="O20" s="98" t="s">
        <v>140</v>
      </c>
      <c r="P20" s="102" t="s">
        <v>128</v>
      </c>
      <c r="Q20" s="103" t="s">
        <v>141</v>
      </c>
      <c r="R20" s="102" t="s">
        <v>130</v>
      </c>
      <c r="S20" s="98" t="s">
        <v>142</v>
      </c>
      <c r="T20" s="99" t="s">
        <v>143</v>
      </c>
      <c r="U20" s="99" t="s">
        <v>144</v>
      </c>
      <c r="V20" s="100" t="s">
        <v>107</v>
      </c>
      <c r="W20" s="98" t="s">
        <v>104</v>
      </c>
      <c r="X20" s="98" t="s">
        <v>134</v>
      </c>
      <c r="Y20" s="98" t="s">
        <v>145</v>
      </c>
      <c r="Z20" s="100" t="s">
        <v>119</v>
      </c>
      <c r="AA20" s="124"/>
      <c r="AB20" s="124"/>
      <c r="AC20" s="124"/>
      <c r="AD20" s="124"/>
    </row>
    <row r="21" spans="1:30" ht="15.75">
      <c r="B21" s="42">
        <f t="shared" si="0"/>
        <v>45544</v>
      </c>
      <c r="C21" s="23" t="s">
        <v>146</v>
      </c>
      <c r="D21" s="4" t="s">
        <v>147</v>
      </c>
      <c r="E21" s="49" t="s">
        <v>148</v>
      </c>
      <c r="F21" s="98" t="s">
        <v>137</v>
      </c>
      <c r="G21" s="98" t="s">
        <v>112</v>
      </c>
      <c r="H21" s="100" t="s">
        <v>149</v>
      </c>
      <c r="I21" s="100" t="s">
        <v>113</v>
      </c>
      <c r="J21" s="99" t="s">
        <v>138</v>
      </c>
      <c r="K21" s="99" t="s">
        <v>150</v>
      </c>
      <c r="L21" s="99" t="s">
        <v>147</v>
      </c>
      <c r="M21" s="98" t="s">
        <v>92</v>
      </c>
      <c r="N21" s="100" t="s">
        <v>151</v>
      </c>
      <c r="O21" s="98" t="s">
        <v>94</v>
      </c>
      <c r="P21" s="102" t="s">
        <v>152</v>
      </c>
      <c r="Q21" s="98" t="s">
        <v>153</v>
      </c>
      <c r="R21" s="102" t="s">
        <v>105</v>
      </c>
      <c r="S21" s="98" t="s">
        <v>154</v>
      </c>
      <c r="T21" s="99" t="s">
        <v>143</v>
      </c>
      <c r="U21" s="100" t="s">
        <v>155</v>
      </c>
      <c r="V21" s="99" t="s">
        <v>118</v>
      </c>
      <c r="W21" s="98" t="s">
        <v>116</v>
      </c>
      <c r="X21" s="98" t="s">
        <v>156</v>
      </c>
      <c r="Y21" s="98" t="s">
        <v>157</v>
      </c>
      <c r="Z21" s="98" t="s">
        <v>135</v>
      </c>
      <c r="AA21" s="124"/>
      <c r="AB21" s="124"/>
      <c r="AC21" s="124"/>
      <c r="AD21" s="124"/>
    </row>
    <row r="22" spans="1:30" ht="15.75">
      <c r="B22" s="42">
        <f t="shared" si="0"/>
        <v>45551</v>
      </c>
      <c r="C22" s="23" t="s">
        <v>158</v>
      </c>
      <c r="D22" s="4" t="s">
        <v>147</v>
      </c>
      <c r="E22" s="49" t="s">
        <v>148</v>
      </c>
      <c r="F22" s="98" t="s">
        <v>159</v>
      </c>
      <c r="G22" s="98" t="s">
        <v>112</v>
      </c>
      <c r="H22" s="100" t="s">
        <v>149</v>
      </c>
      <c r="I22" s="98" t="s">
        <v>127</v>
      </c>
      <c r="J22" s="100" t="s">
        <v>160</v>
      </c>
      <c r="K22" s="99" t="s">
        <v>150</v>
      </c>
      <c r="L22" s="99" t="s">
        <v>147</v>
      </c>
      <c r="M22" s="98" t="s">
        <v>110</v>
      </c>
      <c r="N22" s="100" t="s">
        <v>151</v>
      </c>
      <c r="O22" s="99" t="s">
        <v>123</v>
      </c>
      <c r="P22" s="102" t="s">
        <v>152</v>
      </c>
      <c r="Q22" s="98" t="s">
        <v>161</v>
      </c>
      <c r="R22" s="102" t="s">
        <v>105</v>
      </c>
      <c r="S22" s="98" t="s">
        <v>162</v>
      </c>
      <c r="T22" s="100" t="s">
        <v>163</v>
      </c>
      <c r="U22" s="98" t="s">
        <v>164</v>
      </c>
      <c r="V22" s="99" t="s">
        <v>118</v>
      </c>
      <c r="W22" s="99" t="s">
        <v>143</v>
      </c>
      <c r="X22" s="98" t="s">
        <v>156</v>
      </c>
      <c r="Y22" s="99" t="s">
        <v>165</v>
      </c>
      <c r="Z22" s="98" t="s">
        <v>135</v>
      </c>
      <c r="AA22" s="124"/>
      <c r="AB22" s="124"/>
      <c r="AC22" s="124"/>
      <c r="AD22" s="124"/>
    </row>
    <row r="23" spans="1:30" ht="15.75">
      <c r="B23" s="42">
        <f t="shared" si="0"/>
        <v>45558</v>
      </c>
      <c r="C23" s="23" t="s">
        <v>166</v>
      </c>
      <c r="D23" s="3" t="s">
        <v>167</v>
      </c>
      <c r="E23" s="49" t="s">
        <v>168</v>
      </c>
      <c r="F23" s="98" t="s">
        <v>159</v>
      </c>
      <c r="G23" s="99" t="s">
        <v>125</v>
      </c>
      <c r="H23" s="98" t="s">
        <v>169</v>
      </c>
      <c r="I23" s="98" t="s">
        <v>127</v>
      </c>
      <c r="J23" s="100" t="s">
        <v>160</v>
      </c>
      <c r="K23" s="100" t="s">
        <v>170</v>
      </c>
      <c r="L23" s="100" t="s">
        <v>167</v>
      </c>
      <c r="M23" s="98" t="s">
        <v>137</v>
      </c>
      <c r="N23" s="102" t="s">
        <v>171</v>
      </c>
      <c r="O23" s="100" t="s">
        <v>149</v>
      </c>
      <c r="P23" s="99" t="s">
        <v>172</v>
      </c>
      <c r="Q23" s="99" t="s">
        <v>173</v>
      </c>
      <c r="R23" s="102" t="s">
        <v>117</v>
      </c>
      <c r="S23" s="99" t="s">
        <v>174</v>
      </c>
      <c r="T23" s="100" t="s">
        <v>163</v>
      </c>
      <c r="U23" s="98" t="s">
        <v>175</v>
      </c>
      <c r="V23" s="100" t="s">
        <v>133</v>
      </c>
      <c r="W23" s="100" t="s">
        <v>163</v>
      </c>
      <c r="X23" s="98" t="s">
        <v>176</v>
      </c>
      <c r="Y23" s="100" t="s">
        <v>177</v>
      </c>
      <c r="Z23" s="98" t="s">
        <v>145</v>
      </c>
      <c r="AA23" s="124"/>
      <c r="AB23" s="124"/>
      <c r="AC23" s="124"/>
      <c r="AD23" s="124"/>
    </row>
    <row r="24" spans="1:30" ht="15.75">
      <c r="B24" s="42">
        <f t="shared" si="0"/>
        <v>45565</v>
      </c>
      <c r="C24" s="23" t="s">
        <v>178</v>
      </c>
      <c r="D24" s="3" t="s">
        <v>167</v>
      </c>
      <c r="E24" s="49" t="s">
        <v>168</v>
      </c>
      <c r="F24" s="99" t="s">
        <v>179</v>
      </c>
      <c r="G24" s="99" t="s">
        <v>125</v>
      </c>
      <c r="H24" s="98" t="s">
        <v>169</v>
      </c>
      <c r="I24" s="98" t="s">
        <v>140</v>
      </c>
      <c r="J24" s="98" t="s">
        <v>180</v>
      </c>
      <c r="K24" s="100" t="s">
        <v>170</v>
      </c>
      <c r="L24" s="100" t="s">
        <v>167</v>
      </c>
      <c r="M24" s="98" t="s">
        <v>159</v>
      </c>
      <c r="N24" s="102" t="s">
        <v>171</v>
      </c>
      <c r="O24" s="98" t="s">
        <v>169</v>
      </c>
      <c r="P24" s="99" t="s">
        <v>172</v>
      </c>
      <c r="Q24" s="100" t="s">
        <v>181</v>
      </c>
      <c r="R24" s="102" t="s">
        <v>117</v>
      </c>
      <c r="S24" s="100" t="s">
        <v>182</v>
      </c>
      <c r="T24" s="98" t="s">
        <v>183</v>
      </c>
      <c r="U24" s="98" t="s">
        <v>184</v>
      </c>
      <c r="V24" s="100" t="s">
        <v>133</v>
      </c>
      <c r="W24" s="98" t="s">
        <v>183</v>
      </c>
      <c r="X24" s="98" t="s">
        <v>176</v>
      </c>
      <c r="Y24" s="98" t="s">
        <v>185</v>
      </c>
      <c r="Z24" s="98" t="s">
        <v>145</v>
      </c>
      <c r="AA24" s="124"/>
      <c r="AB24" s="124"/>
      <c r="AC24" s="124"/>
      <c r="AD24" s="124"/>
    </row>
    <row r="25" spans="1:30" ht="15.75">
      <c r="B25" s="6">
        <f>B24+7</f>
        <v>45572</v>
      </c>
      <c r="C25" s="7" t="s">
        <v>186</v>
      </c>
      <c r="D25" s="4" t="s">
        <v>187</v>
      </c>
      <c r="E25" s="49" t="s">
        <v>90</v>
      </c>
      <c r="F25" s="99" t="s">
        <v>179</v>
      </c>
      <c r="G25" s="100" t="s">
        <v>139</v>
      </c>
      <c r="H25" s="99" t="s">
        <v>188</v>
      </c>
      <c r="I25" s="98" t="s">
        <v>140</v>
      </c>
      <c r="J25" s="98" t="s">
        <v>180</v>
      </c>
      <c r="K25" s="98" t="s">
        <v>189</v>
      </c>
      <c r="L25" s="99" t="s">
        <v>187</v>
      </c>
      <c r="M25" s="99" t="s">
        <v>179</v>
      </c>
      <c r="N25" s="102" t="s">
        <v>190</v>
      </c>
      <c r="O25" s="99" t="s">
        <v>188</v>
      </c>
      <c r="P25" s="100" t="s">
        <v>191</v>
      </c>
      <c r="Q25" s="103" t="s">
        <v>192</v>
      </c>
      <c r="R25" s="102" t="s">
        <v>132</v>
      </c>
      <c r="S25" s="99" t="s">
        <v>193</v>
      </c>
      <c r="T25" s="98" t="s">
        <v>183</v>
      </c>
      <c r="U25" s="98" t="s">
        <v>194</v>
      </c>
      <c r="V25" s="98" t="s">
        <v>104</v>
      </c>
      <c r="W25" s="98" t="s">
        <v>102</v>
      </c>
      <c r="X25" s="98" t="s">
        <v>195</v>
      </c>
      <c r="Y25" s="98" t="s">
        <v>196</v>
      </c>
      <c r="Z25" s="98" t="s">
        <v>157</v>
      </c>
      <c r="AA25" s="124"/>
      <c r="AB25" s="124"/>
      <c r="AC25" s="124"/>
      <c r="AD25" s="124"/>
    </row>
    <row r="26" spans="1:30" ht="16.5" customHeight="1">
      <c r="A26" s="26" t="s">
        <v>197</v>
      </c>
      <c r="B26" s="42">
        <f t="shared" si="0"/>
        <v>45579</v>
      </c>
      <c r="C26" s="7" t="s">
        <v>198</v>
      </c>
      <c r="D26" s="4" t="s">
        <v>187</v>
      </c>
      <c r="E26" s="49" t="s">
        <v>90</v>
      </c>
      <c r="F26" s="100" t="s">
        <v>91</v>
      </c>
      <c r="G26" s="100" t="s">
        <v>139</v>
      </c>
      <c r="H26" s="99" t="s">
        <v>188</v>
      </c>
      <c r="I26" s="98" t="s">
        <v>94</v>
      </c>
      <c r="J26" s="98" t="s">
        <v>95</v>
      </c>
      <c r="K26" s="98" t="s">
        <v>189</v>
      </c>
      <c r="L26" s="105" t="s">
        <v>199</v>
      </c>
      <c r="M26" s="100" t="s">
        <v>91</v>
      </c>
      <c r="N26" s="102" t="s">
        <v>190</v>
      </c>
      <c r="O26" s="100" t="s">
        <v>93</v>
      </c>
      <c r="P26" s="100" t="s">
        <v>191</v>
      </c>
      <c r="Q26" s="99" t="s">
        <v>200</v>
      </c>
      <c r="R26" s="102" t="s">
        <v>132</v>
      </c>
      <c r="S26" s="100" t="s">
        <v>97</v>
      </c>
      <c r="T26" s="98" t="s">
        <v>102</v>
      </c>
      <c r="U26" s="99" t="s">
        <v>201</v>
      </c>
      <c r="V26" s="98" t="s">
        <v>104</v>
      </c>
      <c r="W26" s="98" t="s">
        <v>130</v>
      </c>
      <c r="X26" s="98" t="s">
        <v>195</v>
      </c>
      <c r="Y26" s="98" t="s">
        <v>202</v>
      </c>
      <c r="Z26" s="98" t="s">
        <v>157</v>
      </c>
      <c r="AA26" s="100" t="s">
        <v>97</v>
      </c>
      <c r="AB26" s="100" t="s">
        <v>97</v>
      </c>
      <c r="AC26" s="124"/>
      <c r="AD26" s="124"/>
    </row>
    <row r="27" spans="1:30" ht="15.75">
      <c r="B27" s="42">
        <f t="shared" si="0"/>
        <v>45586</v>
      </c>
      <c r="C27" s="7" t="s">
        <v>203</v>
      </c>
      <c r="E27" s="49" t="s">
        <v>121</v>
      </c>
      <c r="F27" s="100" t="s">
        <v>91</v>
      </c>
      <c r="G27" s="98" t="s">
        <v>92</v>
      </c>
      <c r="H27" s="100" t="s">
        <v>93</v>
      </c>
      <c r="I27" s="98" t="s">
        <v>94</v>
      </c>
      <c r="J27" s="98" t="s">
        <v>95</v>
      </c>
      <c r="K27" s="98" t="s">
        <v>204</v>
      </c>
      <c r="L27" s="100" t="s">
        <v>97</v>
      </c>
      <c r="M27" s="98" t="s">
        <v>122</v>
      </c>
      <c r="N27" s="102" t="s">
        <v>205</v>
      </c>
      <c r="O27" s="98" t="s">
        <v>98</v>
      </c>
      <c r="P27" s="102" t="s">
        <v>99</v>
      </c>
      <c r="Q27" s="100" t="s">
        <v>206</v>
      </c>
      <c r="R27" s="99" t="s">
        <v>144</v>
      </c>
      <c r="S27" s="100" t="s">
        <v>207</v>
      </c>
      <c r="T27" s="98" t="s">
        <v>102</v>
      </c>
      <c r="U27" s="100" t="s">
        <v>208</v>
      </c>
      <c r="V27" s="98" t="s">
        <v>116</v>
      </c>
      <c r="W27" s="98" t="s">
        <v>105</v>
      </c>
      <c r="X27" s="99" t="s">
        <v>106</v>
      </c>
      <c r="Y27" s="98" t="s">
        <v>209</v>
      </c>
      <c r="Z27" s="99" t="s">
        <v>165</v>
      </c>
      <c r="AA27" s="100" t="s">
        <v>119</v>
      </c>
      <c r="AB27" s="100" t="s">
        <v>97</v>
      </c>
      <c r="AC27" s="124"/>
      <c r="AD27" s="124"/>
    </row>
    <row r="28" spans="1:30" ht="15.75">
      <c r="B28" s="42">
        <f t="shared" si="0"/>
        <v>45593</v>
      </c>
      <c r="C28" s="7" t="s">
        <v>210</v>
      </c>
      <c r="E28" s="49" t="s">
        <v>121</v>
      </c>
      <c r="F28" s="98" t="s">
        <v>122</v>
      </c>
      <c r="G28" s="98" t="s">
        <v>92</v>
      </c>
      <c r="H28" s="100" t="s">
        <v>93</v>
      </c>
      <c r="I28" s="99" t="s">
        <v>123</v>
      </c>
      <c r="J28" s="99" t="s">
        <v>100</v>
      </c>
      <c r="K28" s="98" t="s">
        <v>204</v>
      </c>
      <c r="L28" s="100" t="s">
        <v>124</v>
      </c>
      <c r="M28" s="98" t="s">
        <v>148</v>
      </c>
      <c r="N28" s="102" t="s">
        <v>205</v>
      </c>
      <c r="O28" s="98" t="s">
        <v>112</v>
      </c>
      <c r="P28" s="102" t="s">
        <v>99</v>
      </c>
      <c r="Q28" s="103" t="s">
        <v>211</v>
      </c>
      <c r="R28" s="99" t="s">
        <v>144</v>
      </c>
      <c r="S28" s="98" t="s">
        <v>212</v>
      </c>
      <c r="T28" s="98" t="s">
        <v>130</v>
      </c>
      <c r="U28" s="98" t="s">
        <v>151</v>
      </c>
      <c r="V28" s="98" t="s">
        <v>116</v>
      </c>
      <c r="W28" s="98" t="s">
        <v>117</v>
      </c>
      <c r="X28" s="99" t="s">
        <v>106</v>
      </c>
      <c r="Y28" s="99" t="s">
        <v>213</v>
      </c>
      <c r="Z28" s="99" t="s">
        <v>165</v>
      </c>
      <c r="AA28" s="98" t="s">
        <v>135</v>
      </c>
      <c r="AB28" s="100" t="s">
        <v>119</v>
      </c>
      <c r="AC28" s="124"/>
      <c r="AD28" s="124"/>
    </row>
    <row r="29" spans="1:30" ht="15.75">
      <c r="B29" s="42">
        <f t="shared" si="0"/>
        <v>45600</v>
      </c>
      <c r="C29" s="7" t="s">
        <v>214</v>
      </c>
      <c r="E29" s="4" t="s">
        <v>147</v>
      </c>
      <c r="F29" s="98" t="s">
        <v>122</v>
      </c>
      <c r="G29" s="98" t="s">
        <v>110</v>
      </c>
      <c r="H29" s="98" t="s">
        <v>98</v>
      </c>
      <c r="I29" s="99" t="s">
        <v>123</v>
      </c>
      <c r="J29" s="99" t="s">
        <v>100</v>
      </c>
      <c r="K29" s="98" t="s">
        <v>96</v>
      </c>
      <c r="L29" s="100" t="s">
        <v>124</v>
      </c>
      <c r="M29" s="98" t="s">
        <v>168</v>
      </c>
      <c r="N29" s="99" t="s">
        <v>215</v>
      </c>
      <c r="O29" s="99" t="s">
        <v>125</v>
      </c>
      <c r="P29" s="99" t="s">
        <v>126</v>
      </c>
      <c r="Q29" s="99" t="s">
        <v>216</v>
      </c>
      <c r="R29" s="100" t="s">
        <v>155</v>
      </c>
      <c r="S29" s="98" t="s">
        <v>170</v>
      </c>
      <c r="T29" s="98" t="s">
        <v>130</v>
      </c>
      <c r="U29" s="98" t="s">
        <v>171</v>
      </c>
      <c r="V29" s="99" t="s">
        <v>143</v>
      </c>
      <c r="W29" s="98" t="s">
        <v>132</v>
      </c>
      <c r="X29" s="100" t="s">
        <v>107</v>
      </c>
      <c r="Y29" s="100" t="s">
        <v>217</v>
      </c>
      <c r="Z29" s="100" t="s">
        <v>177</v>
      </c>
      <c r="AA29" s="98" t="s">
        <v>145</v>
      </c>
      <c r="AB29" s="100" t="s">
        <v>119</v>
      </c>
      <c r="AC29" s="124"/>
      <c r="AD29" s="124"/>
    </row>
    <row r="30" spans="1:30" ht="15.75">
      <c r="B30" s="42">
        <f t="shared" si="0"/>
        <v>45607</v>
      </c>
      <c r="C30" s="7" t="s">
        <v>218</v>
      </c>
      <c r="E30" s="4" t="s">
        <v>147</v>
      </c>
      <c r="F30" s="98" t="s">
        <v>148</v>
      </c>
      <c r="G30" s="98" t="s">
        <v>110</v>
      </c>
      <c r="H30" s="98" t="s">
        <v>98</v>
      </c>
      <c r="I30" s="100" t="s">
        <v>149</v>
      </c>
      <c r="J30" s="100" t="s">
        <v>113</v>
      </c>
      <c r="K30" s="98" t="s">
        <v>96</v>
      </c>
      <c r="L30" s="99" t="s">
        <v>150</v>
      </c>
      <c r="M30" s="98" t="s">
        <v>90</v>
      </c>
      <c r="N30" s="99" t="s">
        <v>215</v>
      </c>
      <c r="O30" s="100" t="s">
        <v>139</v>
      </c>
      <c r="P30" s="99" t="s">
        <v>126</v>
      </c>
      <c r="Q30" s="100" t="s">
        <v>219</v>
      </c>
      <c r="R30" s="100" t="s">
        <v>155</v>
      </c>
      <c r="S30" s="98" t="s">
        <v>189</v>
      </c>
      <c r="T30" s="98" t="s">
        <v>105</v>
      </c>
      <c r="U30" s="98" t="s">
        <v>190</v>
      </c>
      <c r="V30" s="99" t="s">
        <v>143</v>
      </c>
      <c r="W30" s="99" t="s">
        <v>144</v>
      </c>
      <c r="X30" s="100" t="s">
        <v>107</v>
      </c>
      <c r="Y30" s="99" t="s">
        <v>220</v>
      </c>
      <c r="Z30" s="100" t="s">
        <v>177</v>
      </c>
      <c r="AA30" s="98" t="s">
        <v>157</v>
      </c>
      <c r="AB30" s="98" t="s">
        <v>135</v>
      </c>
      <c r="AC30" s="124"/>
      <c r="AD30" s="124"/>
    </row>
    <row r="31" spans="1:30" ht="15.75">
      <c r="B31" s="42">
        <f>B30+7</f>
        <v>45614</v>
      </c>
      <c r="C31" s="7" t="s">
        <v>221</v>
      </c>
      <c r="E31" s="3" t="s">
        <v>167</v>
      </c>
      <c r="F31" s="98" t="s">
        <v>148</v>
      </c>
      <c r="G31" s="98" t="s">
        <v>137</v>
      </c>
      <c r="H31" s="98" t="s">
        <v>112</v>
      </c>
      <c r="I31" s="100" t="s">
        <v>149</v>
      </c>
      <c r="J31" s="100" t="s">
        <v>113</v>
      </c>
      <c r="K31" s="98" t="s">
        <v>111</v>
      </c>
      <c r="L31" s="99" t="s">
        <v>150</v>
      </c>
      <c r="M31" s="98" t="s">
        <v>121</v>
      </c>
      <c r="N31" s="100" t="s">
        <v>222</v>
      </c>
      <c r="O31" s="98" t="s">
        <v>92</v>
      </c>
      <c r="P31" s="100" t="s">
        <v>151</v>
      </c>
      <c r="Q31" s="98" t="s">
        <v>223</v>
      </c>
      <c r="R31" s="102" t="s">
        <v>164</v>
      </c>
      <c r="S31" s="98" t="s">
        <v>204</v>
      </c>
      <c r="T31" s="98" t="s">
        <v>105</v>
      </c>
      <c r="U31" s="98" t="s">
        <v>205</v>
      </c>
      <c r="V31" s="100" t="s">
        <v>163</v>
      </c>
      <c r="W31" s="100" t="s">
        <v>155</v>
      </c>
      <c r="X31" s="99" t="s">
        <v>118</v>
      </c>
      <c r="Y31" s="100" t="s">
        <v>224</v>
      </c>
      <c r="Z31" s="98" t="s">
        <v>185</v>
      </c>
      <c r="AA31" s="99" t="s">
        <v>165</v>
      </c>
      <c r="AB31" s="98" t="s">
        <v>135</v>
      </c>
      <c r="AC31" s="124"/>
      <c r="AD31" s="124"/>
    </row>
    <row r="32" spans="1:30" ht="15.75">
      <c r="B32" s="42">
        <f t="shared" si="0"/>
        <v>45621</v>
      </c>
      <c r="C32" s="7" t="s">
        <v>225</v>
      </c>
      <c r="E32" s="3" t="s">
        <v>167</v>
      </c>
      <c r="F32" s="98" t="s">
        <v>168</v>
      </c>
      <c r="G32" s="98" t="s">
        <v>137</v>
      </c>
      <c r="H32" s="98" t="s">
        <v>112</v>
      </c>
      <c r="I32" s="98" t="s">
        <v>169</v>
      </c>
      <c r="J32" s="98" t="s">
        <v>127</v>
      </c>
      <c r="K32" s="98" t="s">
        <v>111</v>
      </c>
      <c r="L32" s="100" t="s">
        <v>170</v>
      </c>
      <c r="M32" s="99" t="s">
        <v>147</v>
      </c>
      <c r="N32" s="100" t="s">
        <v>222</v>
      </c>
      <c r="O32" s="98" t="s">
        <v>110</v>
      </c>
      <c r="P32" s="100" t="s">
        <v>151</v>
      </c>
      <c r="Q32" s="98" t="s">
        <v>226</v>
      </c>
      <c r="R32" s="102" t="s">
        <v>164</v>
      </c>
      <c r="S32" s="99" t="s">
        <v>96</v>
      </c>
      <c r="T32" s="98" t="s">
        <v>117</v>
      </c>
      <c r="U32" s="99" t="s">
        <v>215</v>
      </c>
      <c r="V32" s="100" t="s">
        <v>163</v>
      </c>
      <c r="W32" s="98" t="s">
        <v>164</v>
      </c>
      <c r="X32" s="99" t="s">
        <v>118</v>
      </c>
      <c r="Y32" s="98" t="s">
        <v>227</v>
      </c>
      <c r="Z32" s="98" t="s">
        <v>185</v>
      </c>
      <c r="AA32" s="100" t="s">
        <v>177</v>
      </c>
      <c r="AB32" s="98" t="s">
        <v>145</v>
      </c>
      <c r="AC32" s="124"/>
      <c r="AD32" s="124"/>
    </row>
    <row r="33" spans="1:39" ht="15.75">
      <c r="B33" s="42">
        <f t="shared" si="0"/>
        <v>45628</v>
      </c>
      <c r="C33" s="7" t="s">
        <v>228</v>
      </c>
      <c r="E33" s="4" t="s">
        <v>187</v>
      </c>
      <c r="F33" s="98" t="s">
        <v>168</v>
      </c>
      <c r="G33" s="98" t="s">
        <v>159</v>
      </c>
      <c r="H33" s="99" t="s">
        <v>125</v>
      </c>
      <c r="I33" s="98" t="s">
        <v>169</v>
      </c>
      <c r="J33" s="98" t="s">
        <v>127</v>
      </c>
      <c r="K33" s="99" t="s">
        <v>138</v>
      </c>
      <c r="L33" s="100" t="s">
        <v>170</v>
      </c>
      <c r="M33" s="100" t="s">
        <v>167</v>
      </c>
      <c r="N33" s="106" t="s">
        <v>229</v>
      </c>
      <c r="O33" s="98" t="s">
        <v>137</v>
      </c>
      <c r="P33" s="102" t="s">
        <v>171</v>
      </c>
      <c r="Q33" s="98" t="s">
        <v>230</v>
      </c>
      <c r="R33" s="102" t="s">
        <v>175</v>
      </c>
      <c r="S33" s="100" t="s">
        <v>231</v>
      </c>
      <c r="T33" s="98" t="s">
        <v>117</v>
      </c>
      <c r="U33" s="100" t="s">
        <v>222</v>
      </c>
      <c r="V33" s="98" t="s">
        <v>183</v>
      </c>
      <c r="W33" s="98" t="s">
        <v>175</v>
      </c>
      <c r="X33" s="100" t="s">
        <v>133</v>
      </c>
      <c r="Y33" s="98" t="s">
        <v>232</v>
      </c>
      <c r="Z33" s="98" t="s">
        <v>196</v>
      </c>
      <c r="AA33" s="98" t="s">
        <v>185</v>
      </c>
      <c r="AB33" s="98" t="s">
        <v>145</v>
      </c>
      <c r="AC33" s="124"/>
      <c r="AD33" s="124"/>
    </row>
    <row r="34" spans="1:39" ht="15.75">
      <c r="B34" s="42">
        <f t="shared" si="0"/>
        <v>45635</v>
      </c>
      <c r="C34" s="7" t="s">
        <v>233</v>
      </c>
      <c r="E34" s="4" t="s">
        <v>187</v>
      </c>
      <c r="F34" s="98" t="s">
        <v>90</v>
      </c>
      <c r="G34" s="98" t="s">
        <v>159</v>
      </c>
      <c r="H34" s="107" t="s">
        <v>125</v>
      </c>
      <c r="I34" s="103" t="s">
        <v>169</v>
      </c>
      <c r="J34" s="98" t="s">
        <v>140</v>
      </c>
      <c r="K34" s="99" t="s">
        <v>138</v>
      </c>
      <c r="L34" s="98" t="s">
        <v>189</v>
      </c>
      <c r="M34" s="99" t="s">
        <v>187</v>
      </c>
      <c r="N34" s="99" t="s">
        <v>229</v>
      </c>
      <c r="O34" s="98" t="s">
        <v>159</v>
      </c>
      <c r="P34" s="102" t="s">
        <v>171</v>
      </c>
      <c r="Q34" s="99" t="s">
        <v>234</v>
      </c>
      <c r="R34" s="102" t="s">
        <v>175</v>
      </c>
      <c r="S34" s="98" t="s">
        <v>235</v>
      </c>
      <c r="T34" s="98" t="s">
        <v>132</v>
      </c>
      <c r="U34" s="99" t="s">
        <v>229</v>
      </c>
      <c r="V34" s="98" t="s">
        <v>183</v>
      </c>
      <c r="W34" s="98" t="s">
        <v>184</v>
      </c>
      <c r="X34" s="100" t="s">
        <v>133</v>
      </c>
      <c r="Y34" s="99" t="s">
        <v>236</v>
      </c>
      <c r="Z34" s="98" t="s">
        <v>196</v>
      </c>
      <c r="AA34" s="98" t="s">
        <v>196</v>
      </c>
      <c r="AB34" s="98" t="s">
        <v>157</v>
      </c>
      <c r="AC34" s="124"/>
      <c r="AD34" s="124"/>
    </row>
    <row r="35" spans="1:39" ht="15.75">
      <c r="B35" s="42">
        <f t="shared" si="0"/>
        <v>45642</v>
      </c>
      <c r="C35" s="10" t="s">
        <v>237</v>
      </c>
      <c r="F35" s="98" t="s">
        <v>90</v>
      </c>
      <c r="G35" s="108" t="s">
        <v>179</v>
      </c>
      <c r="H35" s="109" t="s">
        <v>139</v>
      </c>
      <c r="I35" s="110" t="s">
        <v>188</v>
      </c>
      <c r="J35" s="98" t="s">
        <v>140</v>
      </c>
      <c r="K35" s="100" t="s">
        <v>160</v>
      </c>
      <c r="L35" s="98" t="s">
        <v>189</v>
      </c>
      <c r="M35" s="125"/>
      <c r="N35" s="125"/>
      <c r="O35" s="99" t="s">
        <v>179</v>
      </c>
      <c r="P35" s="102" t="s">
        <v>190</v>
      </c>
      <c r="Q35" s="100" t="s">
        <v>238</v>
      </c>
      <c r="R35" s="102" t="s">
        <v>184</v>
      </c>
      <c r="S35" s="99" t="s">
        <v>160</v>
      </c>
      <c r="T35" s="98" t="s">
        <v>132</v>
      </c>
      <c r="U35" s="126"/>
      <c r="V35" s="98" t="s">
        <v>102</v>
      </c>
      <c r="W35" s="98" t="s">
        <v>194</v>
      </c>
      <c r="X35" s="98" t="s">
        <v>104</v>
      </c>
      <c r="Y35" s="100" t="s">
        <v>239</v>
      </c>
      <c r="Z35" s="98" t="s">
        <v>202</v>
      </c>
      <c r="AA35" s="98" t="s">
        <v>202</v>
      </c>
      <c r="AB35" s="98" t="s">
        <v>157</v>
      </c>
      <c r="AC35" s="124"/>
      <c r="AD35" s="124"/>
    </row>
    <row r="36" spans="1:39" ht="15.75">
      <c r="A36" s="277" t="s">
        <v>240</v>
      </c>
      <c r="B36" s="44">
        <v>45649</v>
      </c>
      <c r="C36" s="45" t="s">
        <v>241</v>
      </c>
      <c r="D36" s="57"/>
      <c r="E36" s="51"/>
      <c r="F36" s="111"/>
      <c r="G36" s="111"/>
      <c r="H36" s="112"/>
      <c r="I36" s="112"/>
      <c r="J36" s="112"/>
      <c r="K36" s="112"/>
      <c r="L36" s="112"/>
      <c r="M36" s="111"/>
      <c r="N36" s="111"/>
      <c r="O36" s="111"/>
      <c r="P36" s="111"/>
      <c r="Q36" s="113"/>
      <c r="R36" s="111"/>
      <c r="S36" s="111"/>
      <c r="T36" s="111"/>
      <c r="U36" s="112"/>
      <c r="V36" s="112"/>
      <c r="W36" s="112"/>
      <c r="X36" s="112"/>
      <c r="Y36" s="112"/>
      <c r="Z36" s="112"/>
      <c r="AA36" s="111"/>
      <c r="AB36" s="111"/>
      <c r="AC36" s="111"/>
      <c r="AD36" s="111"/>
      <c r="AE36" s="51"/>
      <c r="AF36" s="51"/>
      <c r="AG36" s="51"/>
      <c r="AH36" s="51"/>
      <c r="AI36" s="51"/>
      <c r="AJ36" s="51"/>
      <c r="AK36" s="51"/>
      <c r="AL36" s="51"/>
      <c r="AM36" s="51"/>
    </row>
    <row r="37" spans="1:39" ht="15.75">
      <c r="A37" s="278"/>
      <c r="B37" s="44">
        <v>45656</v>
      </c>
      <c r="C37" s="45" t="s">
        <v>242</v>
      </c>
      <c r="D37" s="55"/>
      <c r="E37" s="56"/>
      <c r="F37" s="114"/>
      <c r="G37" s="114"/>
      <c r="H37" s="115"/>
      <c r="I37" s="115"/>
      <c r="J37" s="115"/>
      <c r="K37" s="115"/>
      <c r="L37" s="115"/>
      <c r="M37" s="114"/>
      <c r="N37" s="114"/>
      <c r="O37" s="114"/>
      <c r="P37" s="114"/>
      <c r="Q37" s="116"/>
      <c r="R37" s="114"/>
      <c r="S37" s="114"/>
      <c r="T37" s="114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5.75">
      <c r="A38" s="1" t="s">
        <v>243</v>
      </c>
      <c r="B38" s="6">
        <v>45663</v>
      </c>
      <c r="C38" s="12" t="s">
        <v>244</v>
      </c>
      <c r="F38" s="98" t="s">
        <v>121</v>
      </c>
      <c r="G38" s="94" t="s">
        <v>179</v>
      </c>
      <c r="H38" s="100" t="s">
        <v>139</v>
      </c>
      <c r="I38" s="99" t="s">
        <v>188</v>
      </c>
      <c r="J38" s="98" t="s">
        <v>94</v>
      </c>
      <c r="K38" s="100" t="s">
        <v>160</v>
      </c>
      <c r="L38" s="98" t="s">
        <v>204</v>
      </c>
      <c r="M38" s="125"/>
      <c r="N38" s="100" t="s">
        <v>245</v>
      </c>
      <c r="O38" s="100" t="s">
        <v>91</v>
      </c>
      <c r="P38" s="102" t="s">
        <v>190</v>
      </c>
      <c r="Q38" s="98" t="s">
        <v>246</v>
      </c>
      <c r="R38" s="102" t="s">
        <v>184</v>
      </c>
      <c r="S38" s="100" t="s">
        <v>247</v>
      </c>
      <c r="T38" s="103" t="s">
        <v>144</v>
      </c>
      <c r="U38" s="100" t="s">
        <v>245</v>
      </c>
      <c r="V38" s="98" t="s">
        <v>102</v>
      </c>
      <c r="W38" s="99" t="s">
        <v>201</v>
      </c>
      <c r="X38" s="98" t="s">
        <v>104</v>
      </c>
      <c r="Y38" s="98" t="s">
        <v>248</v>
      </c>
      <c r="Z38" s="98" t="s">
        <v>202</v>
      </c>
      <c r="AA38" s="98" t="s">
        <v>209</v>
      </c>
      <c r="AB38" s="99" t="s">
        <v>165</v>
      </c>
      <c r="AC38" s="100" t="s">
        <v>97</v>
      </c>
      <c r="AD38" s="100" t="s">
        <v>97</v>
      </c>
    </row>
    <row r="39" spans="1:39" ht="15.75">
      <c r="B39" s="6">
        <v>45670</v>
      </c>
      <c r="C39" s="7" t="s">
        <v>249</v>
      </c>
      <c r="F39" s="98" t="s">
        <v>121</v>
      </c>
      <c r="G39" s="100" t="s">
        <v>91</v>
      </c>
      <c r="H39" s="98" t="s">
        <v>92</v>
      </c>
      <c r="I39" s="100" t="s">
        <v>93</v>
      </c>
      <c r="J39" s="98" t="s">
        <v>94</v>
      </c>
      <c r="K39" s="98" t="s">
        <v>180</v>
      </c>
      <c r="L39" s="98" t="s">
        <v>204</v>
      </c>
      <c r="M39" s="125"/>
      <c r="N39" s="100" t="s">
        <v>245</v>
      </c>
      <c r="O39" s="98" t="s">
        <v>122</v>
      </c>
      <c r="P39" s="102" t="s">
        <v>205</v>
      </c>
      <c r="Q39" s="103" t="s">
        <v>250</v>
      </c>
      <c r="R39" s="102" t="s">
        <v>194</v>
      </c>
      <c r="S39" s="98" t="s">
        <v>251</v>
      </c>
      <c r="T39" s="103" t="s">
        <v>144</v>
      </c>
      <c r="U39" s="100" t="s">
        <v>207</v>
      </c>
      <c r="V39" s="98" t="s">
        <v>130</v>
      </c>
      <c r="W39" s="100" t="s">
        <v>208</v>
      </c>
      <c r="X39" s="98" t="s">
        <v>116</v>
      </c>
      <c r="Y39" s="98" t="s">
        <v>252</v>
      </c>
      <c r="Z39" s="98" t="s">
        <v>209</v>
      </c>
      <c r="AA39" s="99" t="s">
        <v>213</v>
      </c>
      <c r="AB39" s="99" t="s">
        <v>165</v>
      </c>
      <c r="AC39" s="100" t="s">
        <v>119</v>
      </c>
      <c r="AD39" s="100" t="s">
        <v>97</v>
      </c>
    </row>
    <row r="40" spans="1:39" ht="15.75">
      <c r="B40" s="6">
        <f>B39+7</f>
        <v>45677</v>
      </c>
      <c r="C40" s="7" t="s">
        <v>253</v>
      </c>
      <c r="F40" s="99" t="s">
        <v>147</v>
      </c>
      <c r="G40" s="100" t="s">
        <v>91</v>
      </c>
      <c r="H40" s="98" t="s">
        <v>92</v>
      </c>
      <c r="I40" s="100" t="s">
        <v>93</v>
      </c>
      <c r="J40" s="99" t="s">
        <v>123</v>
      </c>
      <c r="K40" s="98" t="s">
        <v>180</v>
      </c>
      <c r="L40" s="98" t="s">
        <v>96</v>
      </c>
      <c r="M40" s="125"/>
      <c r="N40" s="71" t="s">
        <v>124</v>
      </c>
      <c r="O40" s="98" t="s">
        <v>148</v>
      </c>
      <c r="P40" s="102" t="s">
        <v>205</v>
      </c>
      <c r="Q40" s="99" t="s">
        <v>254</v>
      </c>
      <c r="R40" s="102" t="s">
        <v>194</v>
      </c>
      <c r="S40" s="99" t="s">
        <v>255</v>
      </c>
      <c r="T40" s="99" t="s">
        <v>256</v>
      </c>
      <c r="U40" s="98" t="s">
        <v>212</v>
      </c>
      <c r="V40" s="98" t="s">
        <v>130</v>
      </c>
      <c r="W40" s="98" t="s">
        <v>151</v>
      </c>
      <c r="X40" s="98" t="s">
        <v>116</v>
      </c>
      <c r="Y40" s="98" t="s">
        <v>257</v>
      </c>
      <c r="Z40" s="98" t="s">
        <v>209</v>
      </c>
      <c r="AA40" s="100" t="s">
        <v>217</v>
      </c>
      <c r="AB40" s="100" t="s">
        <v>177</v>
      </c>
      <c r="AC40" s="98" t="s">
        <v>135</v>
      </c>
      <c r="AD40" s="100" t="s">
        <v>119</v>
      </c>
    </row>
    <row r="41" spans="1:39" ht="15.75">
      <c r="B41" s="6">
        <f>B40+7</f>
        <v>45684</v>
      </c>
      <c r="C41" s="7" t="s">
        <v>258</v>
      </c>
      <c r="F41" s="99" t="s">
        <v>147</v>
      </c>
      <c r="G41" s="98" t="s">
        <v>122</v>
      </c>
      <c r="H41" s="98" t="s">
        <v>110</v>
      </c>
      <c r="I41" s="98" t="s">
        <v>98</v>
      </c>
      <c r="J41" s="99" t="s">
        <v>123</v>
      </c>
      <c r="K41" s="98" t="s">
        <v>95</v>
      </c>
      <c r="L41" s="98" t="s">
        <v>96</v>
      </c>
      <c r="M41" s="125"/>
      <c r="N41" s="71" t="s">
        <v>124</v>
      </c>
      <c r="O41" s="98" t="s">
        <v>168</v>
      </c>
      <c r="P41" s="99" t="s">
        <v>215</v>
      </c>
      <c r="Q41" s="100" t="s">
        <v>259</v>
      </c>
      <c r="R41" s="99" t="s">
        <v>201</v>
      </c>
      <c r="S41" s="100" t="s">
        <v>113</v>
      </c>
      <c r="T41" s="99" t="s">
        <v>256</v>
      </c>
      <c r="U41" s="98" t="s">
        <v>170</v>
      </c>
      <c r="V41" s="98" t="s">
        <v>105</v>
      </c>
      <c r="W41" s="98" t="s">
        <v>171</v>
      </c>
      <c r="X41" s="99" t="s">
        <v>143</v>
      </c>
      <c r="Y41" s="98" t="s">
        <v>260</v>
      </c>
      <c r="Z41" s="99" t="s">
        <v>213</v>
      </c>
      <c r="AA41" s="99" t="s">
        <v>220</v>
      </c>
      <c r="AB41" s="100" t="s">
        <v>177</v>
      </c>
      <c r="AC41" s="98" t="s">
        <v>145</v>
      </c>
      <c r="AD41" s="100" t="s">
        <v>119</v>
      </c>
    </row>
    <row r="42" spans="1:39" ht="15.75">
      <c r="B42" s="6">
        <f t="shared" ref="B42:B51" si="1">B41+7</f>
        <v>45691</v>
      </c>
      <c r="C42" s="7" t="s">
        <v>261</v>
      </c>
      <c r="F42" s="100" t="s">
        <v>167</v>
      </c>
      <c r="G42" s="98" t="s">
        <v>122</v>
      </c>
      <c r="H42" s="98" t="s">
        <v>110</v>
      </c>
      <c r="I42" s="98" t="s">
        <v>98</v>
      </c>
      <c r="J42" s="100" t="s">
        <v>149</v>
      </c>
      <c r="K42" s="98" t="s">
        <v>95</v>
      </c>
      <c r="L42" s="98" t="s">
        <v>111</v>
      </c>
      <c r="M42" s="125"/>
      <c r="N42" s="94" t="s">
        <v>150</v>
      </c>
      <c r="O42" s="98" t="s">
        <v>90</v>
      </c>
      <c r="P42" s="99" t="s">
        <v>215</v>
      </c>
      <c r="Q42" s="103" t="s">
        <v>262</v>
      </c>
      <c r="R42" s="99" t="s">
        <v>201</v>
      </c>
      <c r="S42" s="98" t="s">
        <v>127</v>
      </c>
      <c r="T42" s="100" t="s">
        <v>164</v>
      </c>
      <c r="U42" s="98" t="s">
        <v>189</v>
      </c>
      <c r="V42" s="98" t="s">
        <v>105</v>
      </c>
      <c r="W42" s="98" t="s">
        <v>190</v>
      </c>
      <c r="X42" s="99" t="s">
        <v>143</v>
      </c>
      <c r="Y42" s="98" t="s">
        <v>263</v>
      </c>
      <c r="Z42" s="99" t="s">
        <v>213</v>
      </c>
      <c r="AA42" s="100" t="s">
        <v>224</v>
      </c>
      <c r="AB42" s="98" t="s">
        <v>185</v>
      </c>
      <c r="AC42" s="98" t="s">
        <v>157</v>
      </c>
      <c r="AD42" s="98" t="s">
        <v>135</v>
      </c>
    </row>
    <row r="43" spans="1:39" ht="15.75">
      <c r="B43" s="6">
        <f t="shared" si="1"/>
        <v>45698</v>
      </c>
      <c r="C43" s="7" t="s">
        <v>264</v>
      </c>
      <c r="F43" s="100" t="s">
        <v>167</v>
      </c>
      <c r="G43" s="98" t="s">
        <v>148</v>
      </c>
      <c r="H43" s="98" t="s">
        <v>137</v>
      </c>
      <c r="I43" s="98" t="s">
        <v>112</v>
      </c>
      <c r="J43" s="100" t="s">
        <v>149</v>
      </c>
      <c r="K43" s="99" t="s">
        <v>100</v>
      </c>
      <c r="L43" s="98" t="s">
        <v>111</v>
      </c>
      <c r="M43" s="125"/>
      <c r="N43" s="94" t="s">
        <v>150</v>
      </c>
      <c r="O43" s="98" t="s">
        <v>121</v>
      </c>
      <c r="P43" s="100" t="s">
        <v>222</v>
      </c>
      <c r="Q43" s="98" t="s">
        <v>265</v>
      </c>
      <c r="R43" s="100" t="s">
        <v>208</v>
      </c>
      <c r="S43" s="98" t="s">
        <v>140</v>
      </c>
      <c r="T43" s="100" t="s">
        <v>164</v>
      </c>
      <c r="U43" s="98" t="s">
        <v>204</v>
      </c>
      <c r="V43" s="98" t="s">
        <v>117</v>
      </c>
      <c r="W43" s="98" t="s">
        <v>205</v>
      </c>
      <c r="X43" s="100" t="s">
        <v>163</v>
      </c>
      <c r="Y43" s="98" t="s">
        <v>266</v>
      </c>
      <c r="Z43" s="100" t="s">
        <v>217</v>
      </c>
      <c r="AA43" s="98" t="s">
        <v>227</v>
      </c>
      <c r="AB43" s="98" t="s">
        <v>185</v>
      </c>
      <c r="AC43" s="99" t="s">
        <v>165</v>
      </c>
      <c r="AD43" s="98" t="s">
        <v>135</v>
      </c>
    </row>
    <row r="44" spans="1:39" ht="15.75">
      <c r="B44" s="6">
        <f t="shared" si="1"/>
        <v>45705</v>
      </c>
      <c r="C44" s="7" t="s">
        <v>267</v>
      </c>
      <c r="F44" s="99" t="s">
        <v>187</v>
      </c>
      <c r="G44" s="98" t="s">
        <v>148</v>
      </c>
      <c r="H44" s="98" t="s">
        <v>137</v>
      </c>
      <c r="I44" s="98" t="s">
        <v>112</v>
      </c>
      <c r="J44" s="98" t="s">
        <v>169</v>
      </c>
      <c r="K44" s="99" t="s">
        <v>100</v>
      </c>
      <c r="L44" s="99" t="s">
        <v>138</v>
      </c>
      <c r="M44" s="125"/>
      <c r="N44" s="117" t="s">
        <v>170</v>
      </c>
      <c r="O44" s="99" t="s">
        <v>147</v>
      </c>
      <c r="P44" s="100" t="s">
        <v>222</v>
      </c>
      <c r="Q44" s="98" t="s">
        <v>268</v>
      </c>
      <c r="R44" s="100" t="s">
        <v>208</v>
      </c>
      <c r="S44" s="98" t="s">
        <v>94</v>
      </c>
      <c r="T44" s="98" t="s">
        <v>175</v>
      </c>
      <c r="U44" s="99" t="s">
        <v>96</v>
      </c>
      <c r="V44" s="98" t="s">
        <v>117</v>
      </c>
      <c r="W44" s="99" t="s">
        <v>215</v>
      </c>
      <c r="X44" s="100" t="s">
        <v>163</v>
      </c>
      <c r="Y44" s="99" t="s">
        <v>269</v>
      </c>
      <c r="Z44" s="100" t="s">
        <v>217</v>
      </c>
      <c r="AA44" s="98" t="s">
        <v>232</v>
      </c>
      <c r="AB44" s="98" t="s">
        <v>196</v>
      </c>
      <c r="AC44" s="100" t="s">
        <v>177</v>
      </c>
      <c r="AD44" s="98" t="s">
        <v>145</v>
      </c>
    </row>
    <row r="45" spans="1:39" ht="15.75">
      <c r="B45" s="6">
        <f t="shared" si="1"/>
        <v>45712</v>
      </c>
      <c r="C45" s="7" t="s">
        <v>270</v>
      </c>
      <c r="F45" s="99" t="s">
        <v>187</v>
      </c>
      <c r="G45" s="98" t="s">
        <v>168</v>
      </c>
      <c r="H45" s="98" t="s">
        <v>159</v>
      </c>
      <c r="I45" s="99" t="s">
        <v>125</v>
      </c>
      <c r="J45" s="98" t="s">
        <v>169</v>
      </c>
      <c r="K45" s="100" t="s">
        <v>113</v>
      </c>
      <c r="L45" s="99" t="s">
        <v>138</v>
      </c>
      <c r="M45" s="125"/>
      <c r="N45" s="117" t="s">
        <v>271</v>
      </c>
      <c r="O45" s="100" t="s">
        <v>167</v>
      </c>
      <c r="P45" s="99" t="s">
        <v>229</v>
      </c>
      <c r="Q45" s="98" t="s">
        <v>272</v>
      </c>
      <c r="R45" s="102" t="s">
        <v>151</v>
      </c>
      <c r="S45" s="99" t="s">
        <v>123</v>
      </c>
      <c r="T45" s="98" t="s">
        <v>175</v>
      </c>
      <c r="U45" s="100" t="s">
        <v>231</v>
      </c>
      <c r="V45" s="98" t="s">
        <v>132</v>
      </c>
      <c r="W45" s="100" t="s">
        <v>222</v>
      </c>
      <c r="X45" s="98" t="s">
        <v>183</v>
      </c>
      <c r="Y45" s="100" t="s">
        <v>273</v>
      </c>
      <c r="Z45" s="99" t="s">
        <v>220</v>
      </c>
      <c r="AA45" s="157" t="s">
        <v>236</v>
      </c>
      <c r="AB45" s="98" t="s">
        <v>196</v>
      </c>
      <c r="AC45" s="98" t="s">
        <v>185</v>
      </c>
      <c r="AD45" s="98" t="s">
        <v>145</v>
      </c>
    </row>
    <row r="46" spans="1:39" ht="15.75">
      <c r="B46" s="6">
        <f t="shared" si="1"/>
        <v>45719</v>
      </c>
      <c r="C46" s="7" t="s">
        <v>274</v>
      </c>
      <c r="F46" s="124"/>
      <c r="G46" s="98" t="s">
        <v>168</v>
      </c>
      <c r="H46" s="98" t="s">
        <v>159</v>
      </c>
      <c r="I46" s="99" t="s">
        <v>125</v>
      </c>
      <c r="J46" s="99" t="s">
        <v>188</v>
      </c>
      <c r="K46" s="100" t="s">
        <v>113</v>
      </c>
      <c r="L46" s="100" t="s">
        <v>160</v>
      </c>
      <c r="M46" s="125"/>
      <c r="N46" s="95" t="s">
        <v>275</v>
      </c>
      <c r="O46" s="99" t="s">
        <v>187</v>
      </c>
      <c r="P46" s="99" t="s">
        <v>229</v>
      </c>
      <c r="Q46" s="99" t="s">
        <v>276</v>
      </c>
      <c r="R46" s="102" t="s">
        <v>151</v>
      </c>
      <c r="S46" s="100" t="s">
        <v>277</v>
      </c>
      <c r="T46" s="98" t="s">
        <v>184</v>
      </c>
      <c r="U46" s="98" t="s">
        <v>235</v>
      </c>
      <c r="V46" s="98" t="s">
        <v>132</v>
      </c>
      <c r="W46" s="99" t="s">
        <v>229</v>
      </c>
      <c r="X46" s="98" t="s">
        <v>183</v>
      </c>
      <c r="Y46" s="98" t="s">
        <v>278</v>
      </c>
      <c r="Z46" s="99" t="s">
        <v>220</v>
      </c>
      <c r="AA46" s="156" t="s">
        <v>239</v>
      </c>
      <c r="AB46" s="98" t="s">
        <v>202</v>
      </c>
      <c r="AC46" s="98" t="s">
        <v>196</v>
      </c>
      <c r="AD46" s="98" t="s">
        <v>157</v>
      </c>
    </row>
    <row r="47" spans="1:39" ht="15.75">
      <c r="A47" s="63" t="s">
        <v>279</v>
      </c>
      <c r="B47" s="64">
        <f t="shared" si="1"/>
        <v>45726</v>
      </c>
      <c r="C47" s="7" t="s">
        <v>280</v>
      </c>
      <c r="F47" s="124"/>
      <c r="G47" s="98" t="s">
        <v>90</v>
      </c>
      <c r="H47" s="99" t="s">
        <v>179</v>
      </c>
      <c r="I47" s="100" t="s">
        <v>139</v>
      </c>
      <c r="J47" s="99" t="s">
        <v>188</v>
      </c>
      <c r="K47" s="98" t="s">
        <v>127</v>
      </c>
      <c r="L47" s="100" t="s">
        <v>160</v>
      </c>
      <c r="M47" s="125"/>
      <c r="N47" s="95" t="s">
        <v>275</v>
      </c>
      <c r="O47" s="125"/>
      <c r="P47" s="88" t="s">
        <v>245</v>
      </c>
      <c r="Q47" s="100" t="s">
        <v>281</v>
      </c>
      <c r="R47" s="102" t="s">
        <v>171</v>
      </c>
      <c r="S47" s="98" t="s">
        <v>282</v>
      </c>
      <c r="T47" s="98" t="s">
        <v>184</v>
      </c>
      <c r="U47" s="99" t="s">
        <v>160</v>
      </c>
      <c r="V47" s="103" t="s">
        <v>144</v>
      </c>
      <c r="W47" s="100" t="s">
        <v>245</v>
      </c>
      <c r="X47" s="98" t="s">
        <v>102</v>
      </c>
      <c r="Y47" s="98" t="s">
        <v>283</v>
      </c>
      <c r="Z47" s="100" t="s">
        <v>224</v>
      </c>
      <c r="AA47" s="98" t="s">
        <v>248</v>
      </c>
      <c r="AB47" s="98" t="s">
        <v>202</v>
      </c>
      <c r="AC47" s="98" t="s">
        <v>202</v>
      </c>
      <c r="AD47" s="98" t="s">
        <v>157</v>
      </c>
      <c r="AE47" s="100" t="s">
        <v>97</v>
      </c>
      <c r="AF47" s="100" t="s">
        <v>97</v>
      </c>
    </row>
    <row r="48" spans="1:39" ht="15.75">
      <c r="B48" s="6">
        <f t="shared" si="1"/>
        <v>45733</v>
      </c>
      <c r="C48" s="7" t="s">
        <v>284</v>
      </c>
      <c r="F48" s="124"/>
      <c r="G48" s="98" t="s">
        <v>90</v>
      </c>
      <c r="H48" s="99" t="s">
        <v>179</v>
      </c>
      <c r="I48" s="100" t="s">
        <v>139</v>
      </c>
      <c r="J48" s="100" t="s">
        <v>93</v>
      </c>
      <c r="K48" s="98" t="s">
        <v>127</v>
      </c>
      <c r="L48" s="98" t="s">
        <v>180</v>
      </c>
      <c r="M48" s="125"/>
      <c r="N48" s="95" t="s">
        <v>285</v>
      </c>
      <c r="O48" s="125"/>
      <c r="P48" s="89" t="s">
        <v>245</v>
      </c>
      <c r="Q48" s="98" t="s">
        <v>286</v>
      </c>
      <c r="R48" s="102" t="s">
        <v>171</v>
      </c>
      <c r="S48" s="98" t="s">
        <v>287</v>
      </c>
      <c r="T48" s="98" t="s">
        <v>194</v>
      </c>
      <c r="U48" s="100" t="s">
        <v>247</v>
      </c>
      <c r="V48" s="103" t="s">
        <v>144</v>
      </c>
      <c r="W48" s="100" t="s">
        <v>207</v>
      </c>
      <c r="X48" s="98" t="s">
        <v>102</v>
      </c>
      <c r="Y48" s="98" t="s">
        <v>288</v>
      </c>
      <c r="Z48" s="100" t="s">
        <v>224</v>
      </c>
      <c r="AA48" s="98" t="s">
        <v>252</v>
      </c>
      <c r="AB48" s="98" t="s">
        <v>209</v>
      </c>
      <c r="AC48" s="98" t="s">
        <v>209</v>
      </c>
      <c r="AD48" s="99" t="s">
        <v>165</v>
      </c>
      <c r="AE48" s="100" t="s">
        <v>119</v>
      </c>
      <c r="AF48" s="100" t="s">
        <v>97</v>
      </c>
    </row>
    <row r="49" spans="1:39" ht="15.75">
      <c r="B49" s="6">
        <f t="shared" si="1"/>
        <v>45740</v>
      </c>
      <c r="C49" s="7" t="s">
        <v>289</v>
      </c>
      <c r="F49" s="124"/>
      <c r="G49" s="98" t="s">
        <v>121</v>
      </c>
      <c r="H49" s="100" t="s">
        <v>91</v>
      </c>
      <c r="I49" s="98" t="s">
        <v>92</v>
      </c>
      <c r="J49" s="100" t="s">
        <v>93</v>
      </c>
      <c r="K49" s="98" t="s">
        <v>140</v>
      </c>
      <c r="L49" s="98" t="s">
        <v>180</v>
      </c>
      <c r="M49" s="125"/>
      <c r="N49" s="95" t="s">
        <v>204</v>
      </c>
      <c r="O49" s="125"/>
      <c r="P49" s="71" t="s">
        <v>124</v>
      </c>
      <c r="Q49" s="98" t="s">
        <v>290</v>
      </c>
      <c r="R49" s="102" t="s">
        <v>190</v>
      </c>
      <c r="S49" s="99" t="s">
        <v>93</v>
      </c>
      <c r="T49" s="98" t="s">
        <v>194</v>
      </c>
      <c r="U49" s="98" t="s">
        <v>251</v>
      </c>
      <c r="V49" s="99" t="s">
        <v>256</v>
      </c>
      <c r="W49" s="98" t="s">
        <v>212</v>
      </c>
      <c r="X49" s="98" t="s">
        <v>130</v>
      </c>
      <c r="Y49" s="98" t="s">
        <v>291</v>
      </c>
      <c r="Z49" s="98" t="s">
        <v>227</v>
      </c>
      <c r="AA49" s="98" t="s">
        <v>257</v>
      </c>
      <c r="AB49" s="98" t="s">
        <v>209</v>
      </c>
      <c r="AC49" s="99" t="s">
        <v>213</v>
      </c>
      <c r="AD49" s="99" t="s">
        <v>165</v>
      </c>
      <c r="AE49" s="98" t="s">
        <v>135</v>
      </c>
      <c r="AF49" s="100" t="s">
        <v>119</v>
      </c>
    </row>
    <row r="50" spans="1:39" ht="15.75">
      <c r="B50" s="6">
        <f t="shared" si="1"/>
        <v>45747</v>
      </c>
      <c r="C50" s="7" t="s">
        <v>292</v>
      </c>
      <c r="F50" s="124"/>
      <c r="G50" s="98" t="s">
        <v>121</v>
      </c>
      <c r="H50" s="100" t="s">
        <v>91</v>
      </c>
      <c r="I50" s="98" t="s">
        <v>92</v>
      </c>
      <c r="J50" s="98" t="s">
        <v>98</v>
      </c>
      <c r="K50" s="98" t="s">
        <v>140</v>
      </c>
      <c r="L50" s="98" t="s">
        <v>95</v>
      </c>
      <c r="M50" s="125"/>
      <c r="N50" s="95" t="s">
        <v>96</v>
      </c>
      <c r="O50" s="125"/>
      <c r="P50" s="71" t="s">
        <v>124</v>
      </c>
      <c r="Q50" s="99" t="s">
        <v>293</v>
      </c>
      <c r="R50" s="102" t="s">
        <v>190</v>
      </c>
      <c r="S50" s="100" t="s">
        <v>294</v>
      </c>
      <c r="T50" s="98" t="s">
        <v>201</v>
      </c>
      <c r="U50" s="99" t="s">
        <v>255</v>
      </c>
      <c r="V50" s="99" t="s">
        <v>256</v>
      </c>
      <c r="W50" s="98" t="s">
        <v>170</v>
      </c>
      <c r="X50" s="98" t="s">
        <v>130</v>
      </c>
      <c r="Y50" s="99" t="s">
        <v>103</v>
      </c>
      <c r="Z50" s="98" t="s">
        <v>227</v>
      </c>
      <c r="AA50" s="98" t="s">
        <v>260</v>
      </c>
      <c r="AB50" s="99" t="s">
        <v>213</v>
      </c>
      <c r="AC50" s="100" t="s">
        <v>217</v>
      </c>
      <c r="AD50" s="100" t="s">
        <v>177</v>
      </c>
      <c r="AE50" s="98" t="s">
        <v>145</v>
      </c>
      <c r="AF50" s="100" t="s">
        <v>119</v>
      </c>
    </row>
    <row r="51" spans="1:39" ht="15.75">
      <c r="B51" s="6">
        <f t="shared" si="1"/>
        <v>45754</v>
      </c>
      <c r="C51" s="10" t="s">
        <v>295</v>
      </c>
      <c r="F51" s="124"/>
      <c r="G51" s="99" t="s">
        <v>147</v>
      </c>
      <c r="H51" s="98" t="s">
        <v>122</v>
      </c>
      <c r="I51" s="98" t="s">
        <v>110</v>
      </c>
      <c r="J51" s="98" t="s">
        <v>98</v>
      </c>
      <c r="K51" s="98" t="s">
        <v>94</v>
      </c>
      <c r="L51" s="98" t="s">
        <v>95</v>
      </c>
      <c r="M51" s="125"/>
      <c r="N51" s="95" t="s">
        <v>96</v>
      </c>
      <c r="O51" s="125"/>
      <c r="P51" s="94" t="s">
        <v>150</v>
      </c>
      <c r="Q51" s="100" t="s">
        <v>122</v>
      </c>
      <c r="R51" s="102" t="s">
        <v>205</v>
      </c>
      <c r="S51" s="98" t="s">
        <v>296</v>
      </c>
      <c r="T51" s="98" t="s">
        <v>201</v>
      </c>
      <c r="U51" s="100" t="s">
        <v>113</v>
      </c>
      <c r="V51" s="100" t="s">
        <v>164</v>
      </c>
      <c r="W51" s="98" t="s">
        <v>189</v>
      </c>
      <c r="X51" s="98" t="s">
        <v>105</v>
      </c>
      <c r="Y51" s="100" t="s">
        <v>115</v>
      </c>
      <c r="Z51" s="98" t="s">
        <v>232</v>
      </c>
      <c r="AA51" s="98" t="s">
        <v>263</v>
      </c>
      <c r="AB51" s="99" t="s">
        <v>213</v>
      </c>
      <c r="AC51" s="99" t="s">
        <v>220</v>
      </c>
      <c r="AD51" s="100" t="s">
        <v>177</v>
      </c>
      <c r="AE51" s="98" t="s">
        <v>157</v>
      </c>
      <c r="AF51" s="98" t="s">
        <v>135</v>
      </c>
    </row>
    <row r="52" spans="1:39" ht="15.75">
      <c r="A52" s="8" t="s">
        <v>297</v>
      </c>
      <c r="B52" s="13">
        <v>45761</v>
      </c>
      <c r="C52" s="14" t="s">
        <v>298</v>
      </c>
      <c r="D52" s="18"/>
      <c r="E52" s="18"/>
      <c r="F52" s="101"/>
      <c r="G52" s="101"/>
      <c r="H52" s="101"/>
      <c r="I52" s="101"/>
      <c r="J52" s="118"/>
      <c r="K52" s="118"/>
      <c r="L52" s="118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8"/>
      <c r="AH52" s="18"/>
      <c r="AI52" s="18"/>
      <c r="AJ52" s="18"/>
      <c r="AK52" s="18"/>
      <c r="AL52" s="18"/>
      <c r="AM52" s="18"/>
    </row>
    <row r="53" spans="1:39" ht="15.75">
      <c r="B53" s="11">
        <v>45768</v>
      </c>
      <c r="C53" s="12" t="s">
        <v>299</v>
      </c>
      <c r="F53" s="124"/>
      <c r="G53" s="99" t="s">
        <v>147</v>
      </c>
      <c r="H53" s="98" t="s">
        <v>122</v>
      </c>
      <c r="I53" s="98" t="s">
        <v>110</v>
      </c>
      <c r="J53" s="98" t="s">
        <v>112</v>
      </c>
      <c r="K53" s="98" t="s">
        <v>94</v>
      </c>
      <c r="L53" s="99" t="s">
        <v>100</v>
      </c>
      <c r="M53" s="125"/>
      <c r="N53" s="95" t="s">
        <v>111</v>
      </c>
      <c r="O53" s="125"/>
      <c r="P53" s="94" t="s">
        <v>150</v>
      </c>
      <c r="Q53" s="98" t="s">
        <v>148</v>
      </c>
      <c r="R53" s="102" t="s">
        <v>205</v>
      </c>
      <c r="S53" s="98" t="s">
        <v>300</v>
      </c>
      <c r="T53" s="99" t="s">
        <v>301</v>
      </c>
      <c r="U53" s="98" t="s">
        <v>127</v>
      </c>
      <c r="V53" s="100" t="s">
        <v>164</v>
      </c>
      <c r="W53" s="98" t="s">
        <v>204</v>
      </c>
      <c r="X53" s="98" t="s">
        <v>105</v>
      </c>
      <c r="Y53" s="98" t="s">
        <v>131</v>
      </c>
      <c r="Z53" s="98" t="s">
        <v>232</v>
      </c>
      <c r="AA53" s="98" t="s">
        <v>266</v>
      </c>
      <c r="AB53" s="100" t="s">
        <v>217</v>
      </c>
      <c r="AC53" s="100" t="s">
        <v>224</v>
      </c>
      <c r="AD53" s="98" t="s">
        <v>185</v>
      </c>
      <c r="AE53" s="99" t="s">
        <v>165</v>
      </c>
      <c r="AF53" s="122" t="s">
        <v>135</v>
      </c>
    </row>
    <row r="54" spans="1:39" ht="15.75">
      <c r="B54" s="6">
        <v>45775</v>
      </c>
      <c r="C54" s="7" t="s">
        <v>302</v>
      </c>
      <c r="F54" s="124"/>
      <c r="G54" s="100" t="s">
        <v>167</v>
      </c>
      <c r="H54" s="98" t="s">
        <v>148</v>
      </c>
      <c r="I54" s="98" t="s">
        <v>137</v>
      </c>
      <c r="J54" s="98" t="s">
        <v>112</v>
      </c>
      <c r="K54" s="99" t="s">
        <v>123</v>
      </c>
      <c r="L54" s="99" t="s">
        <v>100</v>
      </c>
      <c r="M54" s="125"/>
      <c r="N54" s="95" t="s">
        <v>111</v>
      </c>
      <c r="O54" s="125"/>
      <c r="P54" s="117" t="s">
        <v>170</v>
      </c>
      <c r="Q54" s="103" t="s">
        <v>168</v>
      </c>
      <c r="R54" s="99" t="s">
        <v>215</v>
      </c>
      <c r="S54" s="98" t="s">
        <v>139</v>
      </c>
      <c r="T54" s="99" t="s">
        <v>301</v>
      </c>
      <c r="U54" s="98" t="s">
        <v>140</v>
      </c>
      <c r="V54" s="98" t="s">
        <v>175</v>
      </c>
      <c r="W54" s="99" t="s">
        <v>96</v>
      </c>
      <c r="X54" s="98" t="s">
        <v>117</v>
      </c>
      <c r="Y54" s="98" t="s">
        <v>142</v>
      </c>
      <c r="Z54" s="99" t="s">
        <v>236</v>
      </c>
      <c r="AA54" s="99" t="s">
        <v>269</v>
      </c>
      <c r="AB54" s="100" t="s">
        <v>217</v>
      </c>
      <c r="AC54" s="98" t="s">
        <v>227</v>
      </c>
      <c r="AD54" s="98" t="s">
        <v>185</v>
      </c>
      <c r="AE54" s="165" t="s">
        <v>177</v>
      </c>
      <c r="AF54" s="164" t="s">
        <v>145</v>
      </c>
    </row>
    <row r="55" spans="1:39" ht="15.75">
      <c r="B55" s="6">
        <v>45782</v>
      </c>
      <c r="C55" s="7" t="s">
        <v>303</v>
      </c>
      <c r="F55" s="124"/>
      <c r="G55" s="100" t="s">
        <v>167</v>
      </c>
      <c r="H55" s="98" t="s">
        <v>148</v>
      </c>
      <c r="I55" s="98" t="s">
        <v>137</v>
      </c>
      <c r="J55" s="99" t="s">
        <v>125</v>
      </c>
      <c r="K55" s="99" t="s">
        <v>123</v>
      </c>
      <c r="L55" s="100" t="s">
        <v>113</v>
      </c>
      <c r="M55" s="125"/>
      <c r="N55" s="72" t="s">
        <v>138</v>
      </c>
      <c r="O55" s="125"/>
      <c r="P55" s="117" t="s">
        <v>271</v>
      </c>
      <c r="Q55" s="103" t="s">
        <v>90</v>
      </c>
      <c r="R55" s="99" t="s">
        <v>215</v>
      </c>
      <c r="S55" s="98" t="s">
        <v>92</v>
      </c>
      <c r="T55" s="100" t="s">
        <v>151</v>
      </c>
      <c r="U55" s="98" t="s">
        <v>94</v>
      </c>
      <c r="V55" s="98" t="s">
        <v>175</v>
      </c>
      <c r="W55" s="100" t="s">
        <v>231</v>
      </c>
      <c r="X55" s="98" t="s">
        <v>117</v>
      </c>
      <c r="Y55" s="98" t="s">
        <v>154</v>
      </c>
      <c r="Z55" s="99" t="s">
        <v>236</v>
      </c>
      <c r="AA55" s="100" t="s">
        <v>273</v>
      </c>
      <c r="AB55" s="99" t="s">
        <v>220</v>
      </c>
      <c r="AC55" s="98" t="s">
        <v>232</v>
      </c>
      <c r="AD55" s="98" t="s">
        <v>196</v>
      </c>
      <c r="AE55" s="98" t="s">
        <v>185</v>
      </c>
      <c r="AF55" s="123" t="s">
        <v>145</v>
      </c>
    </row>
    <row r="56" spans="1:39" ht="15.75">
      <c r="B56" s="9">
        <v>45789</v>
      </c>
      <c r="C56" s="7" t="s">
        <v>304</v>
      </c>
      <c r="F56" s="124"/>
      <c r="G56" s="99" t="s">
        <v>187</v>
      </c>
      <c r="H56" s="98" t="s">
        <v>168</v>
      </c>
      <c r="I56" s="98" t="s">
        <v>159</v>
      </c>
      <c r="J56" s="99" t="s">
        <v>125</v>
      </c>
      <c r="K56" s="100" t="s">
        <v>149</v>
      </c>
      <c r="L56" s="100" t="s">
        <v>113</v>
      </c>
      <c r="M56" s="125"/>
      <c r="N56" s="72" t="s">
        <v>138</v>
      </c>
      <c r="O56" s="125"/>
      <c r="P56" s="95" t="s">
        <v>275</v>
      </c>
      <c r="Q56" s="103" t="s">
        <v>121</v>
      </c>
      <c r="R56" s="100" t="s">
        <v>222</v>
      </c>
      <c r="S56" s="99" t="s">
        <v>110</v>
      </c>
      <c r="T56" s="100" t="s">
        <v>151</v>
      </c>
      <c r="U56" s="99" t="s">
        <v>123</v>
      </c>
      <c r="V56" s="98" t="s">
        <v>184</v>
      </c>
      <c r="W56" s="98" t="s">
        <v>235</v>
      </c>
      <c r="X56" s="98" t="s">
        <v>132</v>
      </c>
      <c r="Y56" s="98" t="s">
        <v>162</v>
      </c>
      <c r="Z56" s="100" t="s">
        <v>239</v>
      </c>
      <c r="AA56" s="98" t="s">
        <v>278</v>
      </c>
      <c r="AB56" s="99" t="s">
        <v>220</v>
      </c>
      <c r="AC56" s="99" t="s">
        <v>236</v>
      </c>
      <c r="AD56" s="98" t="s">
        <v>196</v>
      </c>
      <c r="AE56" s="98" t="s">
        <v>196</v>
      </c>
      <c r="AF56" s="98" t="s">
        <v>157</v>
      </c>
    </row>
    <row r="57" spans="1:39" ht="15.75">
      <c r="B57" s="15">
        <v>45796</v>
      </c>
      <c r="C57" s="7" t="s">
        <v>305</v>
      </c>
      <c r="F57" s="124"/>
      <c r="G57" s="99" t="s">
        <v>187</v>
      </c>
      <c r="H57" s="98" t="s">
        <v>168</v>
      </c>
      <c r="I57" s="98" t="s">
        <v>159</v>
      </c>
      <c r="J57" s="100" t="s">
        <v>139</v>
      </c>
      <c r="K57" s="100" t="s">
        <v>149</v>
      </c>
      <c r="L57" s="98" t="s">
        <v>127</v>
      </c>
      <c r="M57" s="125"/>
      <c r="N57" s="71" t="s">
        <v>160</v>
      </c>
      <c r="O57" s="125"/>
      <c r="P57" s="95" t="s">
        <v>275</v>
      </c>
      <c r="Q57" s="99" t="s">
        <v>147</v>
      </c>
      <c r="R57" s="100" t="s">
        <v>222</v>
      </c>
      <c r="S57" s="100" t="s">
        <v>306</v>
      </c>
      <c r="T57" s="98" t="s">
        <v>171</v>
      </c>
      <c r="U57" s="100" t="s">
        <v>277</v>
      </c>
      <c r="V57" s="98" t="s">
        <v>184</v>
      </c>
      <c r="W57" s="99" t="s">
        <v>160</v>
      </c>
      <c r="X57" s="98" t="s">
        <v>132</v>
      </c>
      <c r="Y57" s="99" t="s">
        <v>174</v>
      </c>
      <c r="Z57" s="100" t="s">
        <v>239</v>
      </c>
      <c r="AA57" s="98" t="s">
        <v>283</v>
      </c>
      <c r="AB57" s="100" t="s">
        <v>224</v>
      </c>
      <c r="AC57" s="100" t="s">
        <v>239</v>
      </c>
      <c r="AD57" s="98" t="s">
        <v>202</v>
      </c>
      <c r="AE57" s="98" t="s">
        <v>202</v>
      </c>
      <c r="AF57" s="98" t="s">
        <v>157</v>
      </c>
    </row>
    <row r="58" spans="1:39" ht="15.75">
      <c r="B58" s="15">
        <v>45803</v>
      </c>
      <c r="C58" s="7" t="s">
        <v>307</v>
      </c>
      <c r="F58" s="124"/>
      <c r="G58" s="124"/>
      <c r="H58" s="98" t="s">
        <v>90</v>
      </c>
      <c r="I58" s="99" t="s">
        <v>179</v>
      </c>
      <c r="J58" s="100" t="s">
        <v>139</v>
      </c>
      <c r="K58" s="98" t="s">
        <v>169</v>
      </c>
      <c r="L58" s="98" t="s">
        <v>127</v>
      </c>
      <c r="M58" s="125"/>
      <c r="N58" s="71" t="s">
        <v>160</v>
      </c>
      <c r="O58" s="125"/>
      <c r="P58" s="95" t="s">
        <v>285</v>
      </c>
      <c r="Q58" s="100" t="s">
        <v>167</v>
      </c>
      <c r="R58" s="99" t="s">
        <v>229</v>
      </c>
      <c r="S58" s="98" t="s">
        <v>308</v>
      </c>
      <c r="T58" s="98" t="s">
        <v>171</v>
      </c>
      <c r="U58" s="98" t="s">
        <v>282</v>
      </c>
      <c r="V58" s="98" t="s">
        <v>194</v>
      </c>
      <c r="W58" s="100" t="s">
        <v>247</v>
      </c>
      <c r="X58" s="99" t="s">
        <v>144</v>
      </c>
      <c r="Y58" s="100" t="s">
        <v>182</v>
      </c>
      <c r="Z58" s="98" t="s">
        <v>248</v>
      </c>
      <c r="AA58" s="98" t="s">
        <v>288</v>
      </c>
      <c r="AB58" s="100" t="s">
        <v>224</v>
      </c>
      <c r="AC58" s="98" t="s">
        <v>248</v>
      </c>
      <c r="AD58" s="98" t="s">
        <v>202</v>
      </c>
      <c r="AE58" s="98" t="s">
        <v>209</v>
      </c>
      <c r="AF58" s="99" t="s">
        <v>165</v>
      </c>
    </row>
    <row r="59" spans="1:39" ht="15.75">
      <c r="B59" s="15">
        <v>45810</v>
      </c>
      <c r="C59" s="7" t="s">
        <v>309</v>
      </c>
      <c r="F59" s="124"/>
      <c r="G59" s="124"/>
      <c r="H59" s="98" t="s">
        <v>90</v>
      </c>
      <c r="I59" s="99" t="s">
        <v>179</v>
      </c>
      <c r="J59" s="98" t="s">
        <v>92</v>
      </c>
      <c r="K59" s="98" t="s">
        <v>169</v>
      </c>
      <c r="L59" s="98" t="s">
        <v>140</v>
      </c>
      <c r="M59" s="125"/>
      <c r="N59" s="95" t="s">
        <v>180</v>
      </c>
      <c r="O59" s="125"/>
      <c r="P59" s="95" t="s">
        <v>204</v>
      </c>
      <c r="Q59" s="99" t="s">
        <v>187</v>
      </c>
      <c r="R59" s="99" t="s">
        <v>229</v>
      </c>
      <c r="S59" s="98" t="s">
        <v>310</v>
      </c>
      <c r="T59" s="98" t="s">
        <v>151</v>
      </c>
      <c r="U59" s="98" t="s">
        <v>287</v>
      </c>
      <c r="V59" s="98" t="s">
        <v>194</v>
      </c>
      <c r="W59" s="98" t="s">
        <v>251</v>
      </c>
      <c r="X59" s="99" t="s">
        <v>144</v>
      </c>
      <c r="Y59" s="99" t="s">
        <v>193</v>
      </c>
      <c r="Z59" s="98" t="s">
        <v>248</v>
      </c>
      <c r="AA59" s="98" t="s">
        <v>291</v>
      </c>
      <c r="AB59" s="98" t="s">
        <v>227</v>
      </c>
      <c r="AC59" s="98" t="s">
        <v>252</v>
      </c>
      <c r="AD59" s="98" t="s">
        <v>209</v>
      </c>
      <c r="AE59" s="99" t="s">
        <v>213</v>
      </c>
      <c r="AF59" s="99" t="s">
        <v>165</v>
      </c>
    </row>
    <row r="60" spans="1:39" ht="15.75">
      <c r="A60" s="270" t="s">
        <v>311</v>
      </c>
      <c r="B60" s="13">
        <v>45817</v>
      </c>
      <c r="C60" s="17" t="s">
        <v>312</v>
      </c>
      <c r="D60" s="19"/>
      <c r="E60" s="19"/>
      <c r="F60" s="113"/>
      <c r="G60" s="119"/>
      <c r="H60" s="119"/>
      <c r="I60" s="119"/>
      <c r="J60" s="119"/>
      <c r="K60" s="119"/>
      <c r="L60" s="118"/>
      <c r="M60" s="119"/>
      <c r="N60" s="119"/>
      <c r="O60" s="119"/>
      <c r="P60" s="119"/>
      <c r="Q60" s="119"/>
      <c r="R60" s="113"/>
      <c r="S60" s="113"/>
      <c r="T60" s="113"/>
      <c r="U60" s="113"/>
      <c r="V60" s="98" t="s">
        <v>201</v>
      </c>
      <c r="W60" s="99" t="s">
        <v>255</v>
      </c>
      <c r="X60" s="113"/>
      <c r="Y60" s="113"/>
      <c r="Z60" s="113"/>
      <c r="AA60" s="113"/>
      <c r="AB60" s="113"/>
      <c r="AC60" s="113"/>
      <c r="AD60" s="113"/>
      <c r="AE60" s="38"/>
      <c r="AF60" s="38"/>
      <c r="AG60" s="38"/>
      <c r="AH60" s="184"/>
      <c r="AI60" s="172"/>
      <c r="AJ60" s="172"/>
      <c r="AK60" s="172"/>
      <c r="AL60" s="172"/>
      <c r="AM60" s="172"/>
    </row>
    <row r="61" spans="1:39" ht="15.75">
      <c r="A61" s="271"/>
      <c r="B61" s="13">
        <v>45824</v>
      </c>
      <c r="C61" s="17" t="s">
        <v>313</v>
      </c>
      <c r="D61" s="20"/>
      <c r="E61" s="20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3"/>
      <c r="W61" s="118"/>
      <c r="X61" s="118"/>
      <c r="Y61" s="118"/>
      <c r="Z61" s="118"/>
      <c r="AA61" s="118"/>
      <c r="AB61" s="118"/>
      <c r="AC61" s="118"/>
      <c r="AD61" s="118"/>
      <c r="AE61" s="20"/>
      <c r="AF61" s="20"/>
      <c r="AG61" s="20"/>
      <c r="AH61" s="184"/>
      <c r="AI61" s="172"/>
      <c r="AJ61" s="172"/>
      <c r="AK61" s="172"/>
      <c r="AL61" s="172"/>
      <c r="AM61" s="172"/>
    </row>
    <row r="62" spans="1:39" ht="15.75">
      <c r="A62" s="271"/>
      <c r="B62" s="13">
        <v>45831</v>
      </c>
      <c r="C62" s="17" t="s">
        <v>314</v>
      </c>
      <c r="D62" s="20"/>
      <c r="E62" s="20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20"/>
      <c r="AF62" s="20"/>
      <c r="AG62" s="20"/>
      <c r="AH62" s="184"/>
      <c r="AI62" s="172"/>
      <c r="AJ62" s="172"/>
      <c r="AK62" s="172"/>
      <c r="AL62" s="172"/>
      <c r="AM62" s="172"/>
    </row>
    <row r="63" spans="1:39" ht="15.75">
      <c r="A63" s="271"/>
      <c r="B63" s="13">
        <v>45838</v>
      </c>
      <c r="C63" s="17" t="s">
        <v>315</v>
      </c>
      <c r="D63" s="20"/>
      <c r="E63" s="20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20"/>
      <c r="AF63" s="20"/>
      <c r="AG63" s="20"/>
      <c r="AH63" s="184"/>
      <c r="AI63" s="172"/>
      <c r="AJ63" s="172"/>
      <c r="AK63" s="172"/>
      <c r="AL63" s="172"/>
      <c r="AM63" s="172"/>
    </row>
    <row r="64" spans="1:39" ht="15.75">
      <c r="A64" s="271"/>
      <c r="B64" s="13">
        <v>45845</v>
      </c>
      <c r="C64" s="17" t="s">
        <v>316</v>
      </c>
      <c r="D64" s="20"/>
      <c r="E64" s="20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20"/>
      <c r="AF64" s="20"/>
      <c r="AG64" s="20"/>
      <c r="AH64" s="184"/>
      <c r="AI64" s="172"/>
      <c r="AJ64" s="172"/>
      <c r="AK64" s="172"/>
      <c r="AL64" s="172"/>
      <c r="AM64" s="172"/>
    </row>
    <row r="65" spans="1:39" ht="15.75">
      <c r="A65" s="271"/>
      <c r="B65" s="13">
        <v>45852</v>
      </c>
      <c r="C65" s="17" t="s">
        <v>317</v>
      </c>
      <c r="D65" s="20"/>
      <c r="E65" s="20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20"/>
      <c r="AF65" s="20"/>
      <c r="AG65" s="20"/>
      <c r="AH65" s="184"/>
      <c r="AI65" s="172"/>
      <c r="AJ65" s="172"/>
      <c r="AK65" s="172"/>
      <c r="AL65" s="172"/>
      <c r="AM65" s="172"/>
    </row>
    <row r="66" spans="1:39" ht="15.75">
      <c r="A66" s="271"/>
      <c r="B66" s="13">
        <v>45859</v>
      </c>
      <c r="C66" s="17" t="s">
        <v>318</v>
      </c>
      <c r="D66" s="20"/>
      <c r="E66" s="20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20"/>
      <c r="AF66" s="20"/>
      <c r="AG66" s="20"/>
      <c r="AH66" s="184"/>
      <c r="AI66" s="172"/>
      <c r="AJ66" s="172"/>
      <c r="AK66" s="172"/>
      <c r="AL66" s="172"/>
      <c r="AM66" s="172"/>
    </row>
    <row r="67" spans="1:39" ht="15.75">
      <c r="A67" s="271"/>
      <c r="B67" s="13">
        <v>45866</v>
      </c>
      <c r="C67" s="17" t="s">
        <v>319</v>
      </c>
      <c r="D67" s="20"/>
      <c r="E67" s="20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20"/>
      <c r="AF67" s="20"/>
      <c r="AG67" s="20"/>
      <c r="AH67" s="184"/>
      <c r="AI67" s="172"/>
      <c r="AJ67" s="172"/>
      <c r="AK67" s="172"/>
      <c r="AL67" s="172"/>
      <c r="AM67" s="172"/>
    </row>
    <row r="68" spans="1:39" ht="15.75">
      <c r="A68" s="272"/>
      <c r="B68" s="22">
        <v>45873</v>
      </c>
      <c r="C68" s="17" t="s">
        <v>320</v>
      </c>
      <c r="D68" s="21"/>
      <c r="E68" s="21"/>
      <c r="F68" s="116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16"/>
      <c r="S68" s="116"/>
      <c r="T68" s="116"/>
      <c r="U68" s="116"/>
      <c r="V68" s="118"/>
      <c r="W68" s="116"/>
      <c r="X68" s="116"/>
      <c r="Y68" s="116"/>
      <c r="Z68" s="116"/>
      <c r="AA68" s="116"/>
      <c r="AB68" s="116"/>
      <c r="AC68" s="116"/>
      <c r="AD68" s="116"/>
      <c r="AE68" s="27"/>
      <c r="AF68" s="27"/>
      <c r="AG68" s="27"/>
      <c r="AH68" s="184"/>
      <c r="AI68" s="172"/>
      <c r="AJ68" s="172"/>
      <c r="AK68" s="172"/>
      <c r="AL68" s="172"/>
      <c r="AM68" s="172"/>
    </row>
    <row r="69" spans="1:39" ht="15.75">
      <c r="A69" s="26" t="s">
        <v>88</v>
      </c>
      <c r="B69" s="15">
        <f>B68+7</f>
        <v>45880</v>
      </c>
      <c r="C69" s="7" t="s">
        <v>89</v>
      </c>
      <c r="F69" s="124"/>
      <c r="G69" s="124"/>
      <c r="H69" s="98" t="s">
        <v>121</v>
      </c>
      <c r="I69" s="100" t="s">
        <v>91</v>
      </c>
      <c r="J69" s="98" t="s">
        <v>92</v>
      </c>
      <c r="K69" s="99" t="s">
        <v>188</v>
      </c>
      <c r="L69" s="98" t="s">
        <v>140</v>
      </c>
      <c r="M69" s="124"/>
      <c r="N69" s="95" t="s">
        <v>180</v>
      </c>
      <c r="O69" s="124"/>
      <c r="P69" s="95" t="s">
        <v>96</v>
      </c>
      <c r="Q69" s="124"/>
      <c r="R69" s="121" t="s">
        <v>97</v>
      </c>
      <c r="S69" s="99" t="s">
        <v>293</v>
      </c>
      <c r="T69" s="98" t="s">
        <v>190</v>
      </c>
      <c r="U69" s="99" t="s">
        <v>93</v>
      </c>
      <c r="V69" s="103" t="s">
        <v>201</v>
      </c>
      <c r="W69" s="100" t="s">
        <v>113</v>
      </c>
      <c r="X69" s="100" t="s">
        <v>155</v>
      </c>
      <c r="Y69" s="100" t="s">
        <v>245</v>
      </c>
      <c r="Z69" s="98" t="s">
        <v>252</v>
      </c>
      <c r="AA69" s="99" t="s">
        <v>103</v>
      </c>
      <c r="AB69" s="98" t="s">
        <v>227</v>
      </c>
      <c r="AC69" s="98" t="s">
        <v>257</v>
      </c>
      <c r="AD69" s="98" t="s">
        <v>209</v>
      </c>
      <c r="AE69" s="100" t="s">
        <v>217</v>
      </c>
      <c r="AF69" s="100" t="s">
        <v>177</v>
      </c>
      <c r="AG69" s="100" t="s">
        <v>97</v>
      </c>
      <c r="AH69" s="100" t="s">
        <v>97</v>
      </c>
    </row>
    <row r="70" spans="1:39" ht="15.75">
      <c r="B70" s="15">
        <f t="shared" ref="B70:B133" si="2">B69+7</f>
        <v>45887</v>
      </c>
      <c r="C70" s="7" t="s">
        <v>109</v>
      </c>
      <c r="F70" s="124"/>
      <c r="G70" s="124"/>
      <c r="H70" s="98" t="s">
        <v>121</v>
      </c>
      <c r="I70" s="100" t="s">
        <v>91</v>
      </c>
      <c r="J70" s="98" t="s">
        <v>110</v>
      </c>
      <c r="K70" s="99" t="s">
        <v>188</v>
      </c>
      <c r="L70" s="98" t="s">
        <v>94</v>
      </c>
      <c r="M70" s="124"/>
      <c r="N70" s="95" t="s">
        <v>95</v>
      </c>
      <c r="O70" s="124"/>
      <c r="P70" s="95" t="s">
        <v>96</v>
      </c>
      <c r="Q70" s="124"/>
      <c r="R70" s="121" t="s">
        <v>97</v>
      </c>
      <c r="S70" s="100" t="s">
        <v>122</v>
      </c>
      <c r="T70" s="98" t="s">
        <v>205</v>
      </c>
      <c r="U70" s="100" t="s">
        <v>294</v>
      </c>
      <c r="V70" s="99" t="s">
        <v>301</v>
      </c>
      <c r="W70" s="98" t="s">
        <v>127</v>
      </c>
      <c r="X70" s="100" t="s">
        <v>155</v>
      </c>
      <c r="Y70" s="100" t="s">
        <v>207</v>
      </c>
      <c r="Z70" s="98" t="s">
        <v>252</v>
      </c>
      <c r="AA70" s="100" t="s">
        <v>115</v>
      </c>
      <c r="AB70" s="98" t="s">
        <v>232</v>
      </c>
      <c r="AC70" s="98" t="s">
        <v>260</v>
      </c>
      <c r="AD70" s="99" t="s">
        <v>213</v>
      </c>
      <c r="AE70" s="99" t="s">
        <v>220</v>
      </c>
      <c r="AF70" s="100" t="s">
        <v>177</v>
      </c>
      <c r="AG70" s="100" t="s">
        <v>119</v>
      </c>
      <c r="AH70" s="100" t="s">
        <v>97</v>
      </c>
    </row>
    <row r="71" spans="1:39" ht="15.75">
      <c r="B71" s="15">
        <f t="shared" si="2"/>
        <v>45894</v>
      </c>
      <c r="C71" s="7" t="s">
        <v>120</v>
      </c>
      <c r="F71" s="124"/>
      <c r="G71" s="124"/>
      <c r="H71" s="99" t="s">
        <v>147</v>
      </c>
      <c r="I71" s="98" t="s">
        <v>122</v>
      </c>
      <c r="J71" s="98" t="s">
        <v>110</v>
      </c>
      <c r="K71" s="100" t="s">
        <v>93</v>
      </c>
      <c r="L71" s="98" t="s">
        <v>94</v>
      </c>
      <c r="M71" s="124"/>
      <c r="N71" s="95" t="s">
        <v>95</v>
      </c>
      <c r="O71" s="124"/>
      <c r="P71" s="95" t="s">
        <v>111</v>
      </c>
      <c r="Q71" s="124"/>
      <c r="R71" s="71" t="s">
        <v>114</v>
      </c>
      <c r="S71" s="98" t="s">
        <v>148</v>
      </c>
      <c r="T71" s="103" t="s">
        <v>205</v>
      </c>
      <c r="U71" s="98" t="s">
        <v>296</v>
      </c>
      <c r="V71" s="99" t="s">
        <v>301</v>
      </c>
      <c r="W71" s="98" t="s">
        <v>140</v>
      </c>
      <c r="X71" s="98" t="s">
        <v>164</v>
      </c>
      <c r="Y71" s="98" t="s">
        <v>212</v>
      </c>
      <c r="Z71" s="98" t="s">
        <v>257</v>
      </c>
      <c r="AA71" s="98" t="s">
        <v>131</v>
      </c>
      <c r="AB71" s="98" t="s">
        <v>232</v>
      </c>
      <c r="AC71" s="98" t="s">
        <v>263</v>
      </c>
      <c r="AD71" s="99" t="s">
        <v>213</v>
      </c>
      <c r="AE71" s="100" t="s">
        <v>224</v>
      </c>
      <c r="AF71" s="98" t="s">
        <v>185</v>
      </c>
      <c r="AG71" s="98" t="s">
        <v>135</v>
      </c>
      <c r="AH71" s="100" t="s">
        <v>119</v>
      </c>
    </row>
    <row r="72" spans="1:39" ht="15.75">
      <c r="B72" s="15">
        <f t="shared" si="2"/>
        <v>45901</v>
      </c>
      <c r="C72" s="7" t="s">
        <v>136</v>
      </c>
      <c r="F72" s="124"/>
      <c r="G72" s="124"/>
      <c r="H72" s="99" t="s">
        <v>147</v>
      </c>
      <c r="I72" s="98" t="s">
        <v>122</v>
      </c>
      <c r="J72" s="98" t="s">
        <v>137</v>
      </c>
      <c r="K72" s="100" t="s">
        <v>93</v>
      </c>
      <c r="L72" s="99" t="s">
        <v>123</v>
      </c>
      <c r="M72" s="124"/>
      <c r="N72" s="94" t="s">
        <v>100</v>
      </c>
      <c r="O72" s="124"/>
      <c r="P72" s="95" t="s">
        <v>111</v>
      </c>
      <c r="Q72" s="124"/>
      <c r="R72" s="71" t="s">
        <v>114</v>
      </c>
      <c r="S72" s="98" t="s">
        <v>168</v>
      </c>
      <c r="T72" s="103" t="s">
        <v>215</v>
      </c>
      <c r="U72" s="98" t="s">
        <v>300</v>
      </c>
      <c r="V72" s="100" t="s">
        <v>151</v>
      </c>
      <c r="W72" s="98" t="s">
        <v>94</v>
      </c>
      <c r="X72" s="98" t="s">
        <v>164</v>
      </c>
      <c r="Y72" s="98" t="s">
        <v>170</v>
      </c>
      <c r="Z72" s="98" t="s">
        <v>257</v>
      </c>
      <c r="AA72" s="98" t="s">
        <v>142</v>
      </c>
      <c r="AB72" s="99" t="s">
        <v>236</v>
      </c>
      <c r="AC72" s="98" t="s">
        <v>266</v>
      </c>
      <c r="AD72" s="100" t="s">
        <v>217</v>
      </c>
      <c r="AE72" s="98" t="s">
        <v>227</v>
      </c>
      <c r="AF72" s="98" t="s">
        <v>185</v>
      </c>
      <c r="AG72" s="98" t="s">
        <v>145</v>
      </c>
      <c r="AH72" s="100" t="s">
        <v>119</v>
      </c>
    </row>
    <row r="73" spans="1:39" ht="15.75">
      <c r="B73" s="15">
        <f t="shared" si="2"/>
        <v>45908</v>
      </c>
      <c r="C73" s="7" t="s">
        <v>146</v>
      </c>
      <c r="F73" s="124"/>
      <c r="G73" s="124"/>
      <c r="H73" s="100" t="s">
        <v>167</v>
      </c>
      <c r="I73" s="98" t="s">
        <v>148</v>
      </c>
      <c r="J73" s="98" t="s">
        <v>137</v>
      </c>
      <c r="K73" s="98" t="s">
        <v>98</v>
      </c>
      <c r="L73" s="99" t="s">
        <v>123</v>
      </c>
      <c r="M73" s="124"/>
      <c r="N73" s="94" t="s">
        <v>100</v>
      </c>
      <c r="O73" s="124"/>
      <c r="P73" s="72" t="s">
        <v>138</v>
      </c>
      <c r="Q73" s="124"/>
      <c r="R73" s="95" t="s">
        <v>129</v>
      </c>
      <c r="S73" s="98" t="s">
        <v>90</v>
      </c>
      <c r="T73" s="98" t="s">
        <v>215</v>
      </c>
      <c r="U73" s="98" t="s">
        <v>139</v>
      </c>
      <c r="V73" s="100" t="s">
        <v>151</v>
      </c>
      <c r="W73" s="99" t="s">
        <v>123</v>
      </c>
      <c r="X73" s="98" t="s">
        <v>175</v>
      </c>
      <c r="Y73" s="98" t="s">
        <v>189</v>
      </c>
      <c r="Z73" s="98" t="s">
        <v>260</v>
      </c>
      <c r="AA73" s="98" t="s">
        <v>154</v>
      </c>
      <c r="AB73" s="99" t="s">
        <v>236</v>
      </c>
      <c r="AC73" s="99" t="s">
        <v>269</v>
      </c>
      <c r="AD73" s="100" t="s">
        <v>217</v>
      </c>
      <c r="AE73" s="98" t="s">
        <v>232</v>
      </c>
      <c r="AF73" s="98" t="s">
        <v>196</v>
      </c>
      <c r="AG73" s="98" t="s">
        <v>157</v>
      </c>
      <c r="AH73" s="98" t="s">
        <v>135</v>
      </c>
    </row>
    <row r="74" spans="1:39" ht="15.75">
      <c r="B74" s="15">
        <f t="shared" si="2"/>
        <v>45915</v>
      </c>
      <c r="C74" s="7" t="s">
        <v>158</v>
      </c>
      <c r="F74" s="124"/>
      <c r="G74" s="124"/>
      <c r="H74" s="100" t="s">
        <v>167</v>
      </c>
      <c r="I74" s="98" t="s">
        <v>148</v>
      </c>
      <c r="J74" s="98" t="s">
        <v>159</v>
      </c>
      <c r="K74" s="98" t="s">
        <v>98</v>
      </c>
      <c r="L74" s="100" t="s">
        <v>149</v>
      </c>
      <c r="M74" s="124"/>
      <c r="N74" s="71" t="s">
        <v>113</v>
      </c>
      <c r="O74" s="124"/>
      <c r="P74" s="72" t="s">
        <v>138</v>
      </c>
      <c r="Q74" s="124"/>
      <c r="R74" s="95" t="s">
        <v>129</v>
      </c>
      <c r="S74" s="98" t="s">
        <v>121</v>
      </c>
      <c r="T74" s="100" t="s">
        <v>229</v>
      </c>
      <c r="U74" s="98" t="s">
        <v>92</v>
      </c>
      <c r="V74" s="98" t="s">
        <v>171</v>
      </c>
      <c r="W74" s="100" t="s">
        <v>277</v>
      </c>
      <c r="X74" s="98" t="s">
        <v>175</v>
      </c>
      <c r="Y74" s="98" t="s">
        <v>204</v>
      </c>
      <c r="Z74" s="98" t="s">
        <v>260</v>
      </c>
      <c r="AA74" s="98" t="s">
        <v>162</v>
      </c>
      <c r="AB74" s="100" t="s">
        <v>239</v>
      </c>
      <c r="AC74" s="100" t="s">
        <v>273</v>
      </c>
      <c r="AD74" s="99" t="s">
        <v>220</v>
      </c>
      <c r="AE74" s="99" t="s">
        <v>236</v>
      </c>
      <c r="AF74" s="98" t="s">
        <v>196</v>
      </c>
      <c r="AG74" s="99" t="s">
        <v>165</v>
      </c>
      <c r="AH74" s="98" t="s">
        <v>135</v>
      </c>
    </row>
    <row r="75" spans="1:39" ht="15.75">
      <c r="B75" s="15">
        <f t="shared" si="2"/>
        <v>45922</v>
      </c>
      <c r="C75" s="7" t="s">
        <v>166</v>
      </c>
      <c r="F75" s="124"/>
      <c r="G75" s="124"/>
      <c r="H75" s="99" t="s">
        <v>187</v>
      </c>
      <c r="I75" s="98" t="s">
        <v>168</v>
      </c>
      <c r="J75" s="98" t="s">
        <v>159</v>
      </c>
      <c r="K75" s="98" t="s">
        <v>112</v>
      </c>
      <c r="L75" s="100" t="s">
        <v>149</v>
      </c>
      <c r="M75" s="124"/>
      <c r="N75" s="71" t="s">
        <v>113</v>
      </c>
      <c r="O75" s="124"/>
      <c r="P75" s="71" t="s">
        <v>160</v>
      </c>
      <c r="Q75" s="124"/>
      <c r="R75" s="95" t="s">
        <v>141</v>
      </c>
      <c r="S75" s="99" t="s">
        <v>147</v>
      </c>
      <c r="T75" s="100" t="s">
        <v>229</v>
      </c>
      <c r="U75" s="99" t="s">
        <v>110</v>
      </c>
      <c r="V75" s="98" t="s">
        <v>171</v>
      </c>
      <c r="W75" s="98" t="s">
        <v>282</v>
      </c>
      <c r="X75" s="98" t="s">
        <v>184</v>
      </c>
      <c r="Y75" s="99" t="s">
        <v>96</v>
      </c>
      <c r="Z75" s="98" t="s">
        <v>263</v>
      </c>
      <c r="AA75" s="99" t="s">
        <v>174</v>
      </c>
      <c r="AB75" s="100" t="s">
        <v>239</v>
      </c>
      <c r="AC75" s="98" t="s">
        <v>278</v>
      </c>
      <c r="AD75" s="99" t="s">
        <v>220</v>
      </c>
      <c r="AE75" s="100" t="s">
        <v>239</v>
      </c>
      <c r="AF75" s="98" t="s">
        <v>202</v>
      </c>
      <c r="AG75" s="100" t="s">
        <v>177</v>
      </c>
      <c r="AH75" s="98" t="s">
        <v>145</v>
      </c>
    </row>
    <row r="76" spans="1:39" ht="15.75">
      <c r="B76" s="15">
        <f t="shared" si="2"/>
        <v>45929</v>
      </c>
      <c r="C76" s="7" t="s">
        <v>178</v>
      </c>
      <c r="F76" s="124"/>
      <c r="G76" s="124"/>
      <c r="H76" s="99" t="s">
        <v>187</v>
      </c>
      <c r="I76" s="98" t="s">
        <v>168</v>
      </c>
      <c r="J76" s="99" t="s">
        <v>179</v>
      </c>
      <c r="K76" s="98" t="s">
        <v>112</v>
      </c>
      <c r="L76" s="98" t="s">
        <v>169</v>
      </c>
      <c r="M76" s="124"/>
      <c r="N76" s="95" t="s">
        <v>127</v>
      </c>
      <c r="O76" s="124"/>
      <c r="P76" s="71" t="s">
        <v>160</v>
      </c>
      <c r="Q76" s="124"/>
      <c r="R76" s="95" t="s">
        <v>141</v>
      </c>
      <c r="S76" s="100" t="s">
        <v>167</v>
      </c>
      <c r="T76" s="99" t="s">
        <v>321</v>
      </c>
      <c r="U76" s="100" t="s">
        <v>306</v>
      </c>
      <c r="V76" s="98" t="s">
        <v>190</v>
      </c>
      <c r="W76" s="98" t="s">
        <v>287</v>
      </c>
      <c r="X76" s="98" t="s">
        <v>184</v>
      </c>
      <c r="Y76" s="100" t="s">
        <v>231</v>
      </c>
      <c r="Z76" s="98" t="s">
        <v>263</v>
      </c>
      <c r="AA76" s="100" t="s">
        <v>182</v>
      </c>
      <c r="AB76" s="98" t="s">
        <v>248</v>
      </c>
      <c r="AC76" s="98" t="s">
        <v>283</v>
      </c>
      <c r="AD76" s="100" t="s">
        <v>224</v>
      </c>
      <c r="AE76" s="98" t="s">
        <v>248</v>
      </c>
      <c r="AF76" s="98" t="s">
        <v>202</v>
      </c>
      <c r="AG76" s="98" t="s">
        <v>185</v>
      </c>
      <c r="AH76" s="98" t="s">
        <v>145</v>
      </c>
    </row>
    <row r="77" spans="1:39" ht="15.75">
      <c r="B77" s="15">
        <f t="shared" si="2"/>
        <v>45936</v>
      </c>
      <c r="C77" s="7" t="s">
        <v>186</v>
      </c>
      <c r="F77" s="124"/>
      <c r="G77" s="124"/>
      <c r="H77" s="124"/>
      <c r="I77" s="98" t="s">
        <v>90</v>
      </c>
      <c r="J77" s="99" t="s">
        <v>179</v>
      </c>
      <c r="K77" s="99" t="s">
        <v>125</v>
      </c>
      <c r="L77" s="98" t="s">
        <v>169</v>
      </c>
      <c r="M77" s="124"/>
      <c r="N77" s="95" t="s">
        <v>127</v>
      </c>
      <c r="O77" s="124"/>
      <c r="P77" s="95" t="s">
        <v>180</v>
      </c>
      <c r="Q77" s="124"/>
      <c r="R77" s="95" t="s">
        <v>153</v>
      </c>
      <c r="S77" s="99" t="s">
        <v>187</v>
      </c>
      <c r="T77" s="99" t="s">
        <v>321</v>
      </c>
      <c r="U77" s="98" t="s">
        <v>308</v>
      </c>
      <c r="V77" s="98" t="s">
        <v>190</v>
      </c>
      <c r="W77" s="99" t="s">
        <v>93</v>
      </c>
      <c r="X77" s="98" t="s">
        <v>194</v>
      </c>
      <c r="Y77" s="98" t="s">
        <v>235</v>
      </c>
      <c r="Z77" s="98" t="s">
        <v>266</v>
      </c>
      <c r="AA77" s="99" t="s">
        <v>193</v>
      </c>
      <c r="AB77" s="98" t="s">
        <v>248</v>
      </c>
      <c r="AC77" s="98" t="s">
        <v>288</v>
      </c>
      <c r="AD77" s="100" t="s">
        <v>224</v>
      </c>
      <c r="AE77" s="98" t="s">
        <v>252</v>
      </c>
      <c r="AF77" s="98" t="s">
        <v>209</v>
      </c>
      <c r="AG77" s="98" t="s">
        <v>196</v>
      </c>
      <c r="AH77" s="98" t="s">
        <v>157</v>
      </c>
    </row>
    <row r="78" spans="1:39" ht="15.75">
      <c r="A78" s="174" t="s">
        <v>322</v>
      </c>
      <c r="B78" s="175">
        <f t="shared" si="2"/>
        <v>45943</v>
      </c>
      <c r="C78" s="7" t="s">
        <v>198</v>
      </c>
      <c r="F78" s="124"/>
      <c r="G78" s="124"/>
      <c r="H78" s="124"/>
      <c r="I78" s="98" t="s">
        <v>90</v>
      </c>
      <c r="J78" s="100" t="s">
        <v>91</v>
      </c>
      <c r="K78" s="99" t="s">
        <v>125</v>
      </c>
      <c r="L78" s="99" t="s">
        <v>188</v>
      </c>
      <c r="M78" s="124"/>
      <c r="N78" s="95" t="s">
        <v>140</v>
      </c>
      <c r="O78" s="124"/>
      <c r="P78" s="95" t="s">
        <v>180</v>
      </c>
      <c r="Q78" s="124"/>
      <c r="R78" s="95" t="s">
        <v>153</v>
      </c>
      <c r="S78" s="124"/>
      <c r="T78" s="100" t="s">
        <v>97</v>
      </c>
      <c r="U78" s="98" t="s">
        <v>310</v>
      </c>
      <c r="V78" s="98" t="s">
        <v>205</v>
      </c>
      <c r="W78" s="100" t="s">
        <v>294</v>
      </c>
      <c r="X78" s="98" t="s">
        <v>194</v>
      </c>
      <c r="Y78" s="99" t="s">
        <v>160</v>
      </c>
      <c r="Z78" s="98" t="s">
        <v>266</v>
      </c>
      <c r="AA78" s="100" t="s">
        <v>97</v>
      </c>
      <c r="AB78" s="98" t="s">
        <v>252</v>
      </c>
      <c r="AC78" s="98" t="s">
        <v>291</v>
      </c>
      <c r="AD78" s="98" t="s">
        <v>227</v>
      </c>
      <c r="AE78" s="98" t="s">
        <v>257</v>
      </c>
      <c r="AF78" s="98" t="s">
        <v>209</v>
      </c>
      <c r="AG78" s="98" t="s">
        <v>202</v>
      </c>
      <c r="AH78" s="98" t="s">
        <v>157</v>
      </c>
      <c r="AI78" s="100" t="s">
        <v>97</v>
      </c>
      <c r="AJ78" s="100" t="s">
        <v>97</v>
      </c>
    </row>
    <row r="79" spans="1:39" ht="15.75">
      <c r="B79" s="15">
        <f t="shared" si="2"/>
        <v>45950</v>
      </c>
      <c r="C79" s="7" t="s">
        <v>203</v>
      </c>
      <c r="F79" s="124"/>
      <c r="G79" s="124"/>
      <c r="H79" s="124"/>
      <c r="I79" s="98" t="s">
        <v>121</v>
      </c>
      <c r="J79" s="100" t="s">
        <v>91</v>
      </c>
      <c r="K79" s="100" t="s">
        <v>139</v>
      </c>
      <c r="L79" s="99" t="s">
        <v>188</v>
      </c>
      <c r="M79" s="124"/>
      <c r="N79" s="95" t="s">
        <v>140</v>
      </c>
      <c r="O79" s="124"/>
      <c r="P79" s="95" t="s">
        <v>95</v>
      </c>
      <c r="Q79" s="124"/>
      <c r="R79" s="95" t="s">
        <v>161</v>
      </c>
      <c r="S79" s="124"/>
      <c r="T79" s="100" t="s">
        <v>97</v>
      </c>
      <c r="U79" s="99" t="s">
        <v>310</v>
      </c>
      <c r="V79" s="98" t="s">
        <v>205</v>
      </c>
      <c r="W79" s="98" t="s">
        <v>296</v>
      </c>
      <c r="X79" s="99" t="s">
        <v>201</v>
      </c>
      <c r="Y79" s="100" t="s">
        <v>247</v>
      </c>
      <c r="Z79" s="200" t="s">
        <v>266</v>
      </c>
      <c r="AA79" s="99" t="s">
        <v>114</v>
      </c>
      <c r="AB79" s="98" t="s">
        <v>252</v>
      </c>
      <c r="AC79" s="99" t="s">
        <v>103</v>
      </c>
      <c r="AD79" s="98" t="s">
        <v>227</v>
      </c>
      <c r="AE79" s="98" t="s">
        <v>260</v>
      </c>
      <c r="AF79" s="99" t="s">
        <v>213</v>
      </c>
      <c r="AG79" s="98" t="s">
        <v>209</v>
      </c>
      <c r="AH79" s="99" t="s">
        <v>165</v>
      </c>
      <c r="AI79" s="100" t="s">
        <v>119</v>
      </c>
      <c r="AJ79" s="100" t="s">
        <v>97</v>
      </c>
    </row>
    <row r="80" spans="1:39" ht="15.75">
      <c r="B80" s="15">
        <f t="shared" si="2"/>
        <v>45957</v>
      </c>
      <c r="C80" s="7" t="s">
        <v>210</v>
      </c>
      <c r="F80" s="124"/>
      <c r="G80" s="124"/>
      <c r="H80" s="124"/>
      <c r="I80" s="98" t="s">
        <v>121</v>
      </c>
      <c r="J80" s="98" t="s">
        <v>122</v>
      </c>
      <c r="K80" s="100" t="s">
        <v>139</v>
      </c>
      <c r="L80" s="100" t="s">
        <v>93</v>
      </c>
      <c r="M80" s="124"/>
      <c r="N80" s="95" t="s">
        <v>94</v>
      </c>
      <c r="O80" s="124"/>
      <c r="P80" s="95" t="s">
        <v>95</v>
      </c>
      <c r="Q80" s="124"/>
      <c r="R80" s="95" t="s">
        <v>161</v>
      </c>
      <c r="S80" s="124"/>
      <c r="T80" s="71" t="s">
        <v>114</v>
      </c>
      <c r="U80" s="100" t="s">
        <v>122</v>
      </c>
      <c r="V80" s="99" t="s">
        <v>215</v>
      </c>
      <c r="W80" s="98" t="s">
        <v>300</v>
      </c>
      <c r="X80" s="99" t="s">
        <v>201</v>
      </c>
      <c r="Y80" s="98" t="s">
        <v>251</v>
      </c>
      <c r="Z80" s="99" t="s">
        <v>269</v>
      </c>
      <c r="AA80" s="98" t="s">
        <v>129</v>
      </c>
      <c r="AB80" s="98" t="s">
        <v>257</v>
      </c>
      <c r="AC80" s="100" t="s">
        <v>115</v>
      </c>
      <c r="AD80" s="98" t="s">
        <v>232</v>
      </c>
      <c r="AE80" s="98" t="s">
        <v>263</v>
      </c>
      <c r="AF80" s="99" t="s">
        <v>213</v>
      </c>
      <c r="AG80" s="99" t="s">
        <v>213</v>
      </c>
      <c r="AH80" s="99" t="s">
        <v>165</v>
      </c>
      <c r="AI80" s="98" t="s">
        <v>135</v>
      </c>
      <c r="AJ80" s="100" t="s">
        <v>119</v>
      </c>
    </row>
    <row r="81" spans="1:39" ht="15.75">
      <c r="B81" s="15">
        <f t="shared" si="2"/>
        <v>45964</v>
      </c>
      <c r="C81" s="7" t="s">
        <v>214</v>
      </c>
      <c r="F81" s="124"/>
      <c r="G81" s="124"/>
      <c r="H81" s="124"/>
      <c r="I81" s="99" t="s">
        <v>147</v>
      </c>
      <c r="J81" s="98" t="s">
        <v>122</v>
      </c>
      <c r="K81" s="98" t="s">
        <v>92</v>
      </c>
      <c r="L81" s="100" t="s">
        <v>93</v>
      </c>
      <c r="M81" s="124"/>
      <c r="N81" s="95" t="s">
        <v>94</v>
      </c>
      <c r="O81" s="124"/>
      <c r="P81" s="94" t="s">
        <v>100</v>
      </c>
      <c r="Q81" s="124"/>
      <c r="R81" s="72" t="s">
        <v>173</v>
      </c>
      <c r="S81" s="124"/>
      <c r="T81" s="71" t="s">
        <v>114</v>
      </c>
      <c r="U81" s="98" t="s">
        <v>148</v>
      </c>
      <c r="V81" s="99" t="s">
        <v>215</v>
      </c>
      <c r="W81" s="98" t="s">
        <v>139</v>
      </c>
      <c r="X81" s="100" t="s">
        <v>208</v>
      </c>
      <c r="Y81" s="99" t="s">
        <v>255</v>
      </c>
      <c r="Z81" s="100" t="s">
        <v>273</v>
      </c>
      <c r="AA81" s="98" t="s">
        <v>141</v>
      </c>
      <c r="AB81" s="98" t="s">
        <v>257</v>
      </c>
      <c r="AC81" s="98" t="s">
        <v>131</v>
      </c>
      <c r="AD81" s="98" t="s">
        <v>232</v>
      </c>
      <c r="AE81" s="98" t="s">
        <v>266</v>
      </c>
      <c r="AF81" s="100" t="s">
        <v>217</v>
      </c>
      <c r="AG81" s="100" t="s">
        <v>217</v>
      </c>
      <c r="AH81" s="100" t="s">
        <v>177</v>
      </c>
      <c r="AI81" s="98" t="s">
        <v>145</v>
      </c>
      <c r="AJ81" s="100" t="s">
        <v>119</v>
      </c>
    </row>
    <row r="82" spans="1:39" ht="15.75">
      <c r="B82" s="15">
        <f t="shared" si="2"/>
        <v>45971</v>
      </c>
      <c r="C82" s="7" t="s">
        <v>218</v>
      </c>
      <c r="F82" s="124"/>
      <c r="G82" s="124"/>
      <c r="H82" s="124"/>
      <c r="I82" s="99" t="s">
        <v>147</v>
      </c>
      <c r="J82" s="98" t="s">
        <v>148</v>
      </c>
      <c r="K82" s="98" t="s">
        <v>92</v>
      </c>
      <c r="L82" s="98" t="s">
        <v>98</v>
      </c>
      <c r="M82" s="124"/>
      <c r="N82" s="72" t="s">
        <v>123</v>
      </c>
      <c r="O82" s="124"/>
      <c r="P82" s="94" t="s">
        <v>100</v>
      </c>
      <c r="Q82" s="124"/>
      <c r="R82" s="72" t="s">
        <v>173</v>
      </c>
      <c r="S82" s="124"/>
      <c r="T82" s="95" t="s">
        <v>129</v>
      </c>
      <c r="U82" s="98" t="s">
        <v>168</v>
      </c>
      <c r="V82" s="100" t="s">
        <v>222</v>
      </c>
      <c r="W82" s="98" t="s">
        <v>92</v>
      </c>
      <c r="X82" s="100" t="s">
        <v>208</v>
      </c>
      <c r="Y82" s="100" t="s">
        <v>113</v>
      </c>
      <c r="Z82" s="100" t="s">
        <v>273</v>
      </c>
      <c r="AA82" s="98" t="s">
        <v>153</v>
      </c>
      <c r="AB82" s="98" t="s">
        <v>260</v>
      </c>
      <c r="AC82" s="98" t="s">
        <v>142</v>
      </c>
      <c r="AD82" s="99" t="s">
        <v>236</v>
      </c>
      <c r="AE82" s="99" t="s">
        <v>269</v>
      </c>
      <c r="AF82" s="100" t="s">
        <v>217</v>
      </c>
      <c r="AG82" s="99" t="s">
        <v>220</v>
      </c>
      <c r="AH82" s="100" t="s">
        <v>177</v>
      </c>
      <c r="AI82" s="98" t="s">
        <v>157</v>
      </c>
      <c r="AJ82" s="103" t="s">
        <v>135</v>
      </c>
    </row>
    <row r="83" spans="1:39" ht="15.75">
      <c r="B83" s="15">
        <f t="shared" si="2"/>
        <v>45978</v>
      </c>
      <c r="C83" s="7" t="s">
        <v>221</v>
      </c>
      <c r="F83" s="124"/>
      <c r="G83" s="124"/>
      <c r="H83" s="124"/>
      <c r="I83" s="100" t="s">
        <v>167</v>
      </c>
      <c r="J83" s="98" t="s">
        <v>148</v>
      </c>
      <c r="K83" s="98" t="s">
        <v>110</v>
      </c>
      <c r="L83" s="98" t="s">
        <v>98</v>
      </c>
      <c r="M83" s="124"/>
      <c r="N83" s="72" t="s">
        <v>123</v>
      </c>
      <c r="O83" s="124"/>
      <c r="P83" s="71" t="s">
        <v>113</v>
      </c>
      <c r="Q83" s="124"/>
      <c r="R83" s="71" t="s">
        <v>181</v>
      </c>
      <c r="S83" s="124"/>
      <c r="T83" s="95" t="s">
        <v>129</v>
      </c>
      <c r="U83" s="98" t="s">
        <v>90</v>
      </c>
      <c r="V83" s="100" t="s">
        <v>222</v>
      </c>
      <c r="W83" s="99" t="s">
        <v>110</v>
      </c>
      <c r="X83" s="98" t="s">
        <v>151</v>
      </c>
      <c r="Y83" s="98" t="s">
        <v>127</v>
      </c>
      <c r="Z83" s="98" t="s">
        <v>278</v>
      </c>
      <c r="AA83" s="98" t="s">
        <v>161</v>
      </c>
      <c r="AB83" s="98" t="s">
        <v>260</v>
      </c>
      <c r="AC83" s="98" t="s">
        <v>154</v>
      </c>
      <c r="AD83" s="99" t="s">
        <v>236</v>
      </c>
      <c r="AE83" s="100" t="s">
        <v>273</v>
      </c>
      <c r="AF83" s="99" t="s">
        <v>220</v>
      </c>
      <c r="AG83" s="100" t="s">
        <v>224</v>
      </c>
      <c r="AH83" s="98" t="s">
        <v>185</v>
      </c>
      <c r="AI83" s="99" t="s">
        <v>165</v>
      </c>
      <c r="AJ83" s="103" t="s">
        <v>135</v>
      </c>
    </row>
    <row r="84" spans="1:39" ht="15.75">
      <c r="B84" s="15">
        <f t="shared" si="2"/>
        <v>45985</v>
      </c>
      <c r="C84" s="7" t="s">
        <v>225</v>
      </c>
      <c r="F84" s="124"/>
      <c r="G84" s="124"/>
      <c r="H84" s="124"/>
      <c r="I84" s="100" t="s">
        <v>167</v>
      </c>
      <c r="J84" s="98" t="s">
        <v>168</v>
      </c>
      <c r="K84" s="98" t="s">
        <v>110</v>
      </c>
      <c r="L84" s="98" t="s">
        <v>112</v>
      </c>
      <c r="M84" s="124"/>
      <c r="N84" s="71" t="s">
        <v>149</v>
      </c>
      <c r="O84" s="124"/>
      <c r="P84" s="71" t="s">
        <v>113</v>
      </c>
      <c r="Q84" s="124"/>
      <c r="R84" s="71" t="s">
        <v>181</v>
      </c>
      <c r="S84" s="124"/>
      <c r="T84" s="95" t="s">
        <v>141</v>
      </c>
      <c r="U84" s="98" t="s">
        <v>121</v>
      </c>
      <c r="V84" s="99" t="s">
        <v>229</v>
      </c>
      <c r="W84" s="100" t="s">
        <v>306</v>
      </c>
      <c r="X84" s="98" t="s">
        <v>151</v>
      </c>
      <c r="Y84" s="98" t="s">
        <v>140</v>
      </c>
      <c r="Z84" s="98" t="s">
        <v>278</v>
      </c>
      <c r="AA84" s="99" t="s">
        <v>173</v>
      </c>
      <c r="AB84" s="98" t="s">
        <v>263</v>
      </c>
      <c r="AC84" s="98" t="s">
        <v>162</v>
      </c>
      <c r="AD84" s="100" t="s">
        <v>239</v>
      </c>
      <c r="AE84" s="98" t="s">
        <v>278</v>
      </c>
      <c r="AF84" s="99" t="s">
        <v>220</v>
      </c>
      <c r="AG84" s="98" t="s">
        <v>227</v>
      </c>
      <c r="AH84" s="98" t="s">
        <v>185</v>
      </c>
      <c r="AI84" s="100" t="s">
        <v>177</v>
      </c>
      <c r="AJ84" s="103" t="s">
        <v>145</v>
      </c>
    </row>
    <row r="85" spans="1:39" ht="21" customHeight="1">
      <c r="B85" s="15">
        <f t="shared" si="2"/>
        <v>45992</v>
      </c>
      <c r="C85" s="7" t="s">
        <v>228</v>
      </c>
      <c r="F85" s="124"/>
      <c r="G85" s="124"/>
      <c r="H85" s="124"/>
      <c r="I85" s="99" t="s">
        <v>187</v>
      </c>
      <c r="J85" s="98" t="s">
        <v>168</v>
      </c>
      <c r="K85" s="98" t="s">
        <v>137</v>
      </c>
      <c r="L85" s="98" t="s">
        <v>112</v>
      </c>
      <c r="M85" s="124"/>
      <c r="N85" s="71" t="s">
        <v>149</v>
      </c>
      <c r="O85" s="124"/>
      <c r="P85" s="95" t="s">
        <v>127</v>
      </c>
      <c r="Q85" s="124"/>
      <c r="R85" s="95" t="s">
        <v>192</v>
      </c>
      <c r="S85" s="124"/>
      <c r="T85" s="95" t="s">
        <v>141</v>
      </c>
      <c r="U85" s="99" t="s">
        <v>147</v>
      </c>
      <c r="V85" s="99" t="s">
        <v>229</v>
      </c>
      <c r="W85" s="98" t="s">
        <v>308</v>
      </c>
      <c r="X85" s="98" t="s">
        <v>171</v>
      </c>
      <c r="Y85" s="98" t="s">
        <v>94</v>
      </c>
      <c r="Z85" s="98" t="s">
        <v>283</v>
      </c>
      <c r="AA85" s="100" t="s">
        <v>181</v>
      </c>
      <c r="AB85" s="98" t="s">
        <v>263</v>
      </c>
      <c r="AC85" s="211" t="s">
        <v>174</v>
      </c>
      <c r="AD85" s="100" t="s">
        <v>239</v>
      </c>
      <c r="AE85" s="98" t="s">
        <v>283</v>
      </c>
      <c r="AF85" s="100" t="s">
        <v>224</v>
      </c>
      <c r="AG85" s="98" t="s">
        <v>232</v>
      </c>
      <c r="AH85" s="98" t="s">
        <v>196</v>
      </c>
      <c r="AI85" s="98" t="s">
        <v>185</v>
      </c>
      <c r="AJ85" s="103" t="s">
        <v>145</v>
      </c>
    </row>
    <row r="86" spans="1:39" ht="15.75">
      <c r="B86" s="15">
        <f t="shared" si="2"/>
        <v>45999</v>
      </c>
      <c r="C86" s="7" t="s">
        <v>233</v>
      </c>
      <c r="F86" s="124"/>
      <c r="G86" s="124"/>
      <c r="H86" s="124"/>
      <c r="I86" s="99" t="s">
        <v>187</v>
      </c>
      <c r="J86" s="98" t="s">
        <v>90</v>
      </c>
      <c r="K86" s="98" t="s">
        <v>137</v>
      </c>
      <c r="L86" s="99" t="s">
        <v>125</v>
      </c>
      <c r="M86" s="124"/>
      <c r="N86" s="95" t="s">
        <v>169</v>
      </c>
      <c r="O86" s="124"/>
      <c r="P86" s="95" t="s">
        <v>127</v>
      </c>
      <c r="Q86" s="124"/>
      <c r="R86" s="95" t="s">
        <v>192</v>
      </c>
      <c r="S86" s="124"/>
      <c r="T86" s="95" t="s">
        <v>153</v>
      </c>
      <c r="U86" s="100" t="s">
        <v>167</v>
      </c>
      <c r="V86" s="124"/>
      <c r="W86" s="98" t="s">
        <v>310</v>
      </c>
      <c r="X86" s="98" t="s">
        <v>171</v>
      </c>
      <c r="Y86" s="99" t="s">
        <v>123</v>
      </c>
      <c r="Z86" s="98" t="s">
        <v>283</v>
      </c>
      <c r="AA86" s="98" t="s">
        <v>192</v>
      </c>
      <c r="AB86" s="98" t="s">
        <v>266</v>
      </c>
      <c r="AC86" s="100" t="s">
        <v>182</v>
      </c>
      <c r="AD86" s="98" t="s">
        <v>248</v>
      </c>
      <c r="AE86" s="98" t="s">
        <v>288</v>
      </c>
      <c r="AF86" s="100" t="s">
        <v>224</v>
      </c>
      <c r="AG86" s="99" t="s">
        <v>236</v>
      </c>
      <c r="AH86" s="98" t="s">
        <v>196</v>
      </c>
      <c r="AI86" s="98" t="s">
        <v>196</v>
      </c>
      <c r="AJ86" s="103" t="s">
        <v>157</v>
      </c>
    </row>
    <row r="87" spans="1:39" ht="15.75">
      <c r="B87" s="15">
        <f t="shared" si="2"/>
        <v>46006</v>
      </c>
      <c r="C87" s="7" t="s">
        <v>237</v>
      </c>
      <c r="F87" s="124"/>
      <c r="G87" s="124"/>
      <c r="H87" s="124"/>
      <c r="I87" s="124"/>
      <c r="J87" s="98" t="s">
        <v>90</v>
      </c>
      <c r="K87" s="98" t="s">
        <v>159</v>
      </c>
      <c r="L87" s="99" t="s">
        <v>125</v>
      </c>
      <c r="M87" s="124"/>
      <c r="N87" s="95" t="s">
        <v>169</v>
      </c>
      <c r="O87" s="124"/>
      <c r="P87" s="95" t="s">
        <v>140</v>
      </c>
      <c r="Q87" s="124"/>
      <c r="R87" s="72" t="s">
        <v>200</v>
      </c>
      <c r="S87" s="124"/>
      <c r="T87" s="95" t="s">
        <v>153</v>
      </c>
      <c r="U87" s="99" t="s">
        <v>187</v>
      </c>
      <c r="V87" s="124"/>
      <c r="W87" s="99" t="s">
        <v>293</v>
      </c>
      <c r="X87" s="98" t="s">
        <v>190</v>
      </c>
      <c r="Y87" s="100" t="s">
        <v>277</v>
      </c>
      <c r="Z87" s="98" t="s">
        <v>288</v>
      </c>
      <c r="AA87" s="99" t="s">
        <v>200</v>
      </c>
      <c r="AB87" s="98" t="s">
        <v>266</v>
      </c>
      <c r="AC87" s="99" t="s">
        <v>193</v>
      </c>
      <c r="AD87" s="98" t="s">
        <v>248</v>
      </c>
      <c r="AE87" s="98" t="s">
        <v>291</v>
      </c>
      <c r="AF87" s="158" t="s">
        <v>227</v>
      </c>
      <c r="AG87" s="159" t="s">
        <v>239</v>
      </c>
      <c r="AH87" s="98" t="s">
        <v>202</v>
      </c>
      <c r="AI87" s="98" t="s">
        <v>202</v>
      </c>
      <c r="AJ87" s="183" t="s">
        <v>157</v>
      </c>
    </row>
    <row r="88" spans="1:39" ht="15.75">
      <c r="A88" s="270" t="s">
        <v>323</v>
      </c>
      <c r="B88" s="24">
        <f t="shared" si="2"/>
        <v>46013</v>
      </c>
      <c r="C88" s="25" t="s">
        <v>241</v>
      </c>
      <c r="D88" s="38"/>
      <c r="E88" s="38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38"/>
      <c r="AF88" s="20"/>
      <c r="AG88" s="20"/>
      <c r="AH88" s="38"/>
      <c r="AI88" s="38"/>
      <c r="AJ88" s="184"/>
      <c r="AK88" s="172"/>
      <c r="AL88" s="172"/>
      <c r="AM88" s="172"/>
    </row>
    <row r="89" spans="1:39" ht="15.75">
      <c r="A89" s="272"/>
      <c r="B89" s="24">
        <f t="shared" si="2"/>
        <v>46020</v>
      </c>
      <c r="C89" s="25" t="s">
        <v>242</v>
      </c>
      <c r="D89" s="27"/>
      <c r="E89" s="27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27"/>
      <c r="AF89" s="20"/>
      <c r="AG89" s="20"/>
      <c r="AH89" s="27"/>
      <c r="AI89" s="27"/>
      <c r="AJ89" s="177"/>
      <c r="AK89" s="172"/>
      <c r="AL89" s="172"/>
      <c r="AM89" s="172"/>
    </row>
    <row r="90" spans="1:39" ht="15.75">
      <c r="A90" s="174" t="s">
        <v>324</v>
      </c>
      <c r="B90" s="15">
        <f t="shared" si="2"/>
        <v>46027</v>
      </c>
      <c r="C90" s="23" t="s">
        <v>244</v>
      </c>
      <c r="F90" s="124"/>
      <c r="G90" s="124"/>
      <c r="H90" s="124"/>
      <c r="I90" s="124"/>
      <c r="J90" s="98" t="s">
        <v>121</v>
      </c>
      <c r="K90" s="98" t="s">
        <v>159</v>
      </c>
      <c r="L90" s="100" t="s">
        <v>139</v>
      </c>
      <c r="M90" s="124"/>
      <c r="N90" s="94" t="s">
        <v>188</v>
      </c>
      <c r="O90" s="124"/>
      <c r="P90" s="95" t="s">
        <v>140</v>
      </c>
      <c r="Q90" s="124"/>
      <c r="R90" s="72" t="s">
        <v>200</v>
      </c>
      <c r="S90" s="124"/>
      <c r="T90" s="95" t="s">
        <v>161</v>
      </c>
      <c r="U90" s="124"/>
      <c r="V90" s="100" t="s">
        <v>245</v>
      </c>
      <c r="W90" s="100" t="s">
        <v>122</v>
      </c>
      <c r="X90" s="98" t="s">
        <v>190</v>
      </c>
      <c r="Y90" s="98" t="s">
        <v>282</v>
      </c>
      <c r="Z90" s="98" t="s">
        <v>288</v>
      </c>
      <c r="AA90" s="100" t="s">
        <v>247</v>
      </c>
      <c r="AB90" s="98" t="s">
        <v>269</v>
      </c>
      <c r="AC90" s="100" t="s">
        <v>245</v>
      </c>
      <c r="AD90" s="98" t="s">
        <v>252</v>
      </c>
      <c r="AE90" s="99" t="s">
        <v>103</v>
      </c>
      <c r="AF90" s="98" t="s">
        <v>227</v>
      </c>
      <c r="AG90" s="98" t="s">
        <v>248</v>
      </c>
      <c r="AH90" s="98" t="s">
        <v>202</v>
      </c>
      <c r="AI90" s="98" t="s">
        <v>209</v>
      </c>
      <c r="AJ90" s="185" t="s">
        <v>165</v>
      </c>
      <c r="AK90" s="100" t="s">
        <v>97</v>
      </c>
      <c r="AL90" s="100" t="s">
        <v>97</v>
      </c>
    </row>
    <row r="91" spans="1:39" ht="15.75">
      <c r="B91" s="15">
        <f t="shared" si="2"/>
        <v>46034</v>
      </c>
      <c r="C91" s="23" t="s">
        <v>249</v>
      </c>
      <c r="F91" s="124"/>
      <c r="G91" s="124"/>
      <c r="H91" s="124"/>
      <c r="I91" s="124"/>
      <c r="J91" s="98" t="s">
        <v>121</v>
      </c>
      <c r="K91" s="99" t="s">
        <v>179</v>
      </c>
      <c r="L91" s="100" t="s">
        <v>139</v>
      </c>
      <c r="M91" s="124"/>
      <c r="N91" s="94" t="s">
        <v>188</v>
      </c>
      <c r="O91" s="124"/>
      <c r="P91" s="95" t="s">
        <v>94</v>
      </c>
      <c r="Q91" s="124"/>
      <c r="R91" s="71" t="s">
        <v>206</v>
      </c>
      <c r="S91" s="124"/>
      <c r="T91" s="95" t="s">
        <v>161</v>
      </c>
      <c r="U91" s="124"/>
      <c r="V91" s="100" t="s">
        <v>245</v>
      </c>
      <c r="W91" s="98" t="s">
        <v>148</v>
      </c>
      <c r="X91" s="98" t="s">
        <v>205</v>
      </c>
      <c r="Y91" s="98" t="s">
        <v>287</v>
      </c>
      <c r="Z91" s="98" t="s">
        <v>291</v>
      </c>
      <c r="AA91" s="98" t="s">
        <v>251</v>
      </c>
      <c r="AB91" s="99" t="s">
        <v>269</v>
      </c>
      <c r="AC91" s="100" t="s">
        <v>207</v>
      </c>
      <c r="AD91" s="98" t="s">
        <v>252</v>
      </c>
      <c r="AE91" s="100" t="s">
        <v>115</v>
      </c>
      <c r="AF91" s="98" t="s">
        <v>232</v>
      </c>
      <c r="AG91" s="98" t="s">
        <v>252</v>
      </c>
      <c r="AH91" s="98" t="s">
        <v>209</v>
      </c>
      <c r="AI91" s="99" t="s">
        <v>213</v>
      </c>
      <c r="AJ91" s="99" t="s">
        <v>165</v>
      </c>
      <c r="AK91" s="100" t="s">
        <v>119</v>
      </c>
      <c r="AL91" s="100" t="s">
        <v>97</v>
      </c>
    </row>
    <row r="92" spans="1:39" ht="15.75">
      <c r="B92" s="15">
        <f t="shared" si="2"/>
        <v>46041</v>
      </c>
      <c r="C92" s="23" t="s">
        <v>253</v>
      </c>
      <c r="F92" s="124"/>
      <c r="G92" s="124"/>
      <c r="H92" s="124"/>
      <c r="I92" s="124"/>
      <c r="J92" s="99" t="s">
        <v>147</v>
      </c>
      <c r="K92" s="99" t="s">
        <v>179</v>
      </c>
      <c r="L92" s="98" t="s">
        <v>92</v>
      </c>
      <c r="M92" s="124"/>
      <c r="N92" s="71" t="s">
        <v>93</v>
      </c>
      <c r="O92" s="124"/>
      <c r="P92" s="95" t="s">
        <v>94</v>
      </c>
      <c r="Q92" s="124"/>
      <c r="R92" s="71" t="s">
        <v>206</v>
      </c>
      <c r="S92" s="124"/>
      <c r="T92" s="72" t="s">
        <v>173</v>
      </c>
      <c r="U92" s="124"/>
      <c r="V92" s="100" t="s">
        <v>207</v>
      </c>
      <c r="W92" s="98" t="s">
        <v>168</v>
      </c>
      <c r="X92" s="98" t="s">
        <v>205</v>
      </c>
      <c r="Y92" s="99" t="s">
        <v>93</v>
      </c>
      <c r="Z92" s="98" t="s">
        <v>291</v>
      </c>
      <c r="AA92" s="99" t="s">
        <v>255</v>
      </c>
      <c r="AB92" s="99" t="s">
        <v>325</v>
      </c>
      <c r="AC92" s="98" t="s">
        <v>212</v>
      </c>
      <c r="AD92" s="98" t="s">
        <v>257</v>
      </c>
      <c r="AE92" s="98" t="s">
        <v>131</v>
      </c>
      <c r="AF92" s="98" t="s">
        <v>232</v>
      </c>
      <c r="AG92" s="98" t="s">
        <v>257</v>
      </c>
      <c r="AH92" s="98" t="s">
        <v>209</v>
      </c>
      <c r="AI92" s="100" t="s">
        <v>217</v>
      </c>
      <c r="AJ92" s="100" t="s">
        <v>177</v>
      </c>
      <c r="AK92" s="98" t="s">
        <v>135</v>
      </c>
      <c r="AL92" s="100" t="s">
        <v>119</v>
      </c>
    </row>
    <row r="93" spans="1:39" ht="15.75">
      <c r="B93" s="15">
        <f t="shared" si="2"/>
        <v>46048</v>
      </c>
      <c r="C93" s="23" t="s">
        <v>258</v>
      </c>
      <c r="F93" s="124"/>
      <c r="G93" s="124"/>
      <c r="H93" s="124"/>
      <c r="I93" s="124"/>
      <c r="J93" s="99" t="s">
        <v>147</v>
      </c>
      <c r="K93" s="100" t="s">
        <v>91</v>
      </c>
      <c r="L93" s="98" t="s">
        <v>92</v>
      </c>
      <c r="M93" s="124"/>
      <c r="N93" s="71" t="s">
        <v>254</v>
      </c>
      <c r="O93" s="124"/>
      <c r="P93" s="72" t="s">
        <v>123</v>
      </c>
      <c r="Q93" s="124"/>
      <c r="R93" s="95" t="s">
        <v>211</v>
      </c>
      <c r="S93" s="124"/>
      <c r="T93" s="72" t="s">
        <v>173</v>
      </c>
      <c r="U93" s="124"/>
      <c r="V93" s="100" t="s">
        <v>207</v>
      </c>
      <c r="W93" s="98" t="s">
        <v>90</v>
      </c>
      <c r="X93" s="99" t="s">
        <v>215</v>
      </c>
      <c r="Y93" s="100" t="s">
        <v>294</v>
      </c>
      <c r="Z93" s="99" t="s">
        <v>103</v>
      </c>
      <c r="AA93" s="100" t="s">
        <v>113</v>
      </c>
      <c r="AB93" s="100" t="s">
        <v>273</v>
      </c>
      <c r="AC93" s="98" t="s">
        <v>170</v>
      </c>
      <c r="AD93" s="98" t="s">
        <v>257</v>
      </c>
      <c r="AE93" s="98" t="s">
        <v>142</v>
      </c>
      <c r="AF93" s="99" t="s">
        <v>236</v>
      </c>
      <c r="AG93" s="98" t="s">
        <v>260</v>
      </c>
      <c r="AH93" s="99" t="s">
        <v>213</v>
      </c>
      <c r="AI93" s="99" t="s">
        <v>220</v>
      </c>
      <c r="AJ93" s="100" t="s">
        <v>177</v>
      </c>
      <c r="AK93" s="98" t="s">
        <v>145</v>
      </c>
      <c r="AL93" s="100" t="s">
        <v>119</v>
      </c>
    </row>
    <row r="94" spans="1:39" ht="15.75">
      <c r="B94" s="15">
        <f t="shared" si="2"/>
        <v>46055</v>
      </c>
      <c r="C94" s="23" t="s">
        <v>261</v>
      </c>
      <c r="F94" s="124"/>
      <c r="G94" s="124"/>
      <c r="H94" s="124"/>
      <c r="I94" s="124"/>
      <c r="J94" s="100" t="s">
        <v>167</v>
      </c>
      <c r="K94" s="100" t="s">
        <v>91</v>
      </c>
      <c r="L94" s="98" t="s">
        <v>110</v>
      </c>
      <c r="M94" s="124"/>
      <c r="N94" s="95" t="s">
        <v>98</v>
      </c>
      <c r="O94" s="124"/>
      <c r="P94" s="72" t="s">
        <v>123</v>
      </c>
      <c r="Q94" s="124"/>
      <c r="R94" s="95" t="s">
        <v>211</v>
      </c>
      <c r="S94" s="124"/>
      <c r="T94" s="71" t="s">
        <v>181</v>
      </c>
      <c r="U94" s="124"/>
      <c r="V94" s="98" t="s">
        <v>212</v>
      </c>
      <c r="W94" s="98" t="s">
        <v>121</v>
      </c>
      <c r="X94" s="99" t="s">
        <v>215</v>
      </c>
      <c r="Y94" s="98" t="s">
        <v>296</v>
      </c>
      <c r="Z94" s="99" t="s">
        <v>103</v>
      </c>
      <c r="AA94" s="98" t="s">
        <v>127</v>
      </c>
      <c r="AB94" s="100" t="s">
        <v>278</v>
      </c>
      <c r="AC94" s="98" t="s">
        <v>189</v>
      </c>
      <c r="AD94" s="98" t="s">
        <v>260</v>
      </c>
      <c r="AE94" s="98" t="s">
        <v>154</v>
      </c>
      <c r="AF94" s="99" t="s">
        <v>236</v>
      </c>
      <c r="AG94" s="98" t="s">
        <v>263</v>
      </c>
      <c r="AH94" s="99" t="s">
        <v>213</v>
      </c>
      <c r="AI94" s="100" t="s">
        <v>224</v>
      </c>
      <c r="AJ94" s="103" t="s">
        <v>185</v>
      </c>
      <c r="AK94" s="98" t="s">
        <v>157</v>
      </c>
      <c r="AL94" s="103" t="s">
        <v>135</v>
      </c>
    </row>
    <row r="95" spans="1:39" ht="15.75">
      <c r="B95" s="15">
        <f t="shared" si="2"/>
        <v>46062</v>
      </c>
      <c r="C95" s="23" t="s">
        <v>264</v>
      </c>
      <c r="F95" s="124"/>
      <c r="G95" s="124"/>
      <c r="H95" s="124"/>
      <c r="I95" s="124"/>
      <c r="J95" s="100" t="s">
        <v>167</v>
      </c>
      <c r="K95" s="98" t="s">
        <v>122</v>
      </c>
      <c r="L95" s="98" t="s">
        <v>110</v>
      </c>
      <c r="M95" s="124"/>
      <c r="N95" s="95" t="s">
        <v>98</v>
      </c>
      <c r="O95" s="124"/>
      <c r="P95" s="71" t="s">
        <v>149</v>
      </c>
      <c r="Q95" s="124"/>
      <c r="R95" s="72" t="s">
        <v>216</v>
      </c>
      <c r="S95" s="124"/>
      <c r="T95" s="71" t="s">
        <v>181</v>
      </c>
      <c r="U95" s="124"/>
      <c r="V95" s="98" t="s">
        <v>212</v>
      </c>
      <c r="W95" s="99" t="s">
        <v>147</v>
      </c>
      <c r="X95" s="100" t="s">
        <v>222</v>
      </c>
      <c r="Y95" s="98" t="s">
        <v>300</v>
      </c>
      <c r="Z95" s="100" t="s">
        <v>115</v>
      </c>
      <c r="AA95" s="98" t="s">
        <v>140</v>
      </c>
      <c r="AB95" s="98" t="s">
        <v>278</v>
      </c>
      <c r="AC95" s="98" t="s">
        <v>204</v>
      </c>
      <c r="AD95" s="98" t="s">
        <v>260</v>
      </c>
      <c r="AE95" s="98" t="s">
        <v>162</v>
      </c>
      <c r="AF95" s="100" t="s">
        <v>239</v>
      </c>
      <c r="AG95" s="98" t="s">
        <v>266</v>
      </c>
      <c r="AH95" s="100" t="s">
        <v>217</v>
      </c>
      <c r="AI95" s="98" t="s">
        <v>227</v>
      </c>
      <c r="AJ95" s="103" t="s">
        <v>185</v>
      </c>
      <c r="AK95" s="99" t="s">
        <v>165</v>
      </c>
      <c r="AL95" s="103" t="s">
        <v>135</v>
      </c>
    </row>
    <row r="96" spans="1:39" ht="15.75">
      <c r="B96" s="15">
        <f t="shared" si="2"/>
        <v>46069</v>
      </c>
      <c r="C96" s="23" t="s">
        <v>267</v>
      </c>
      <c r="F96" s="124"/>
      <c r="G96" s="124"/>
      <c r="H96" s="124"/>
      <c r="I96" s="124"/>
      <c r="J96" s="99" t="s">
        <v>187</v>
      </c>
      <c r="K96" s="98" t="s">
        <v>122</v>
      </c>
      <c r="L96" s="98" t="s">
        <v>137</v>
      </c>
      <c r="M96" s="124"/>
      <c r="N96" s="95" t="s">
        <v>112</v>
      </c>
      <c r="O96" s="124"/>
      <c r="P96" s="71" t="s">
        <v>149</v>
      </c>
      <c r="Q96" s="124"/>
      <c r="R96" s="72" t="s">
        <v>216</v>
      </c>
      <c r="S96" s="124"/>
      <c r="T96" s="95" t="s">
        <v>192</v>
      </c>
      <c r="U96" s="124"/>
      <c r="V96" s="98" t="s">
        <v>170</v>
      </c>
      <c r="W96" s="100" t="s">
        <v>167</v>
      </c>
      <c r="X96" s="100" t="s">
        <v>222</v>
      </c>
      <c r="Y96" s="98" t="s">
        <v>139</v>
      </c>
      <c r="Z96" s="100" t="s">
        <v>115</v>
      </c>
      <c r="AA96" s="98" t="s">
        <v>94</v>
      </c>
      <c r="AB96" s="98" t="s">
        <v>283</v>
      </c>
      <c r="AC96" s="99" t="s">
        <v>96</v>
      </c>
      <c r="AD96" s="98" t="s">
        <v>263</v>
      </c>
      <c r="AE96" s="99" t="s">
        <v>174</v>
      </c>
      <c r="AF96" s="100" t="s">
        <v>239</v>
      </c>
      <c r="AG96" s="99" t="s">
        <v>269</v>
      </c>
      <c r="AH96" s="100" t="s">
        <v>217</v>
      </c>
      <c r="AI96" s="98" t="s">
        <v>232</v>
      </c>
      <c r="AJ96" s="103" t="s">
        <v>196</v>
      </c>
      <c r="AK96" s="100" t="s">
        <v>177</v>
      </c>
      <c r="AL96" s="103" t="s">
        <v>145</v>
      </c>
    </row>
    <row r="97" spans="1:47" ht="15.75">
      <c r="B97" s="15">
        <f t="shared" si="2"/>
        <v>46076</v>
      </c>
      <c r="C97" s="23" t="s">
        <v>270</v>
      </c>
      <c r="F97" s="124"/>
      <c r="G97" s="124"/>
      <c r="H97" s="124"/>
      <c r="I97" s="124"/>
      <c r="J97" s="99" t="s">
        <v>187</v>
      </c>
      <c r="K97" s="98" t="s">
        <v>148</v>
      </c>
      <c r="L97" s="98" t="s">
        <v>137</v>
      </c>
      <c r="M97" s="124"/>
      <c r="N97" s="95" t="s">
        <v>112</v>
      </c>
      <c r="O97" s="124"/>
      <c r="P97" s="95" t="s">
        <v>169</v>
      </c>
      <c r="Q97" s="124"/>
      <c r="R97" s="71" t="s">
        <v>219</v>
      </c>
      <c r="S97" s="124"/>
      <c r="T97" s="95" t="s">
        <v>192</v>
      </c>
      <c r="U97" s="124"/>
      <c r="V97" s="98" t="s">
        <v>170</v>
      </c>
      <c r="W97" s="99" t="s">
        <v>187</v>
      </c>
      <c r="X97" s="99" t="s">
        <v>229</v>
      </c>
      <c r="Y97" s="98" t="s">
        <v>92</v>
      </c>
      <c r="Z97" s="98" t="s">
        <v>131</v>
      </c>
      <c r="AA97" s="99" t="s">
        <v>123</v>
      </c>
      <c r="AB97" s="98" t="s">
        <v>283</v>
      </c>
      <c r="AC97" s="100" t="s">
        <v>231</v>
      </c>
      <c r="AD97" s="98" t="s">
        <v>263</v>
      </c>
      <c r="AE97" s="100" t="s">
        <v>182</v>
      </c>
      <c r="AF97" s="98" t="s">
        <v>248</v>
      </c>
      <c r="AG97" s="100" t="s">
        <v>273</v>
      </c>
      <c r="AH97" s="99" t="s">
        <v>220</v>
      </c>
      <c r="AI97" s="99" t="s">
        <v>236</v>
      </c>
      <c r="AJ97" s="103" t="s">
        <v>196</v>
      </c>
      <c r="AK97" s="98" t="s">
        <v>185</v>
      </c>
      <c r="AL97" s="103" t="s">
        <v>145</v>
      </c>
    </row>
    <row r="98" spans="1:47" ht="15.75">
      <c r="B98" s="15">
        <f t="shared" si="2"/>
        <v>46083</v>
      </c>
      <c r="C98" s="23" t="s">
        <v>274</v>
      </c>
      <c r="F98" s="124"/>
      <c r="G98" s="124"/>
      <c r="H98" s="124"/>
      <c r="I98" s="124"/>
      <c r="J98" s="124"/>
      <c r="K98" s="98" t="s">
        <v>148</v>
      </c>
      <c r="L98" s="98" t="s">
        <v>159</v>
      </c>
      <c r="M98" s="124"/>
      <c r="N98" s="94" t="s">
        <v>125</v>
      </c>
      <c r="O98" s="124"/>
      <c r="P98" s="95" t="s">
        <v>169</v>
      </c>
      <c r="Q98" s="124"/>
      <c r="R98" s="71" t="s">
        <v>219</v>
      </c>
      <c r="S98" s="124"/>
      <c r="T98" s="72" t="s">
        <v>200</v>
      </c>
      <c r="U98" s="124"/>
      <c r="V98" s="98" t="s">
        <v>189</v>
      </c>
      <c r="X98" s="99" t="s">
        <v>229</v>
      </c>
      <c r="Y98" s="99" t="s">
        <v>110</v>
      </c>
      <c r="Z98" s="98" t="s">
        <v>131</v>
      </c>
      <c r="AA98" s="100" t="s">
        <v>277</v>
      </c>
      <c r="AB98" s="98" t="s">
        <v>288</v>
      </c>
      <c r="AC98" s="98" t="s">
        <v>235</v>
      </c>
      <c r="AD98" s="98" t="s">
        <v>266</v>
      </c>
      <c r="AE98" s="99" t="s">
        <v>193</v>
      </c>
      <c r="AF98" s="98" t="s">
        <v>248</v>
      </c>
      <c r="AG98" s="98" t="s">
        <v>278</v>
      </c>
      <c r="AH98" s="99" t="s">
        <v>220</v>
      </c>
      <c r="AI98" s="159" t="s">
        <v>239</v>
      </c>
      <c r="AJ98" s="103" t="s">
        <v>202</v>
      </c>
      <c r="AK98" s="98" t="s">
        <v>196</v>
      </c>
      <c r="AL98" s="103" t="s">
        <v>157</v>
      </c>
    </row>
    <row r="99" spans="1:47" ht="15.75">
      <c r="A99" s="26" t="s">
        <v>279</v>
      </c>
      <c r="B99" s="15">
        <f t="shared" si="2"/>
        <v>46090</v>
      </c>
      <c r="C99" s="23" t="s">
        <v>280</v>
      </c>
      <c r="F99" s="124"/>
      <c r="G99" s="124"/>
      <c r="H99" s="124"/>
      <c r="I99" s="124"/>
      <c r="J99" s="124"/>
      <c r="K99" s="98" t="s">
        <v>168</v>
      </c>
      <c r="L99" s="98" t="s">
        <v>159</v>
      </c>
      <c r="M99" s="124"/>
      <c r="N99" s="94" t="s">
        <v>125</v>
      </c>
      <c r="O99" s="124"/>
      <c r="P99" s="94" t="s">
        <v>188</v>
      </c>
      <c r="Q99" s="124"/>
      <c r="R99" s="95" t="s">
        <v>223</v>
      </c>
      <c r="S99" s="124"/>
      <c r="T99" s="72" t="s">
        <v>200</v>
      </c>
      <c r="U99" s="124"/>
      <c r="V99" s="98" t="s">
        <v>189</v>
      </c>
      <c r="W99" s="124"/>
      <c r="X99" s="100" t="s">
        <v>245</v>
      </c>
      <c r="Y99" s="100" t="s">
        <v>306</v>
      </c>
      <c r="Z99" s="98" t="s">
        <v>142</v>
      </c>
      <c r="AA99" s="98" t="s">
        <v>282</v>
      </c>
      <c r="AB99" s="98" t="s">
        <v>288</v>
      </c>
      <c r="AC99" s="99" t="s">
        <v>160</v>
      </c>
      <c r="AD99" s="98" t="s">
        <v>266</v>
      </c>
      <c r="AE99" s="100" t="s">
        <v>245</v>
      </c>
      <c r="AF99" s="98" t="s">
        <v>252</v>
      </c>
      <c r="AG99" s="98" t="s">
        <v>283</v>
      </c>
      <c r="AH99" s="100" t="s">
        <v>224</v>
      </c>
      <c r="AI99" s="98" t="s">
        <v>248</v>
      </c>
      <c r="AJ99" s="103" t="s">
        <v>202</v>
      </c>
      <c r="AK99" s="98" t="s">
        <v>202</v>
      </c>
      <c r="AL99" s="183" t="s">
        <v>157</v>
      </c>
      <c r="AM99" s="100" t="s">
        <v>97</v>
      </c>
      <c r="AN99" s="100" t="s">
        <v>97</v>
      </c>
    </row>
    <row r="100" spans="1:47" ht="15.75">
      <c r="B100" s="15">
        <f t="shared" si="2"/>
        <v>46097</v>
      </c>
      <c r="C100" s="23" t="s">
        <v>284</v>
      </c>
      <c r="F100" s="124"/>
      <c r="G100" s="124"/>
      <c r="H100" s="124"/>
      <c r="I100" s="124"/>
      <c r="J100" s="124"/>
      <c r="K100" s="98" t="s">
        <v>168</v>
      </c>
      <c r="L100" s="99" t="s">
        <v>179</v>
      </c>
      <c r="M100" s="124"/>
      <c r="N100" s="96" t="s">
        <v>139</v>
      </c>
      <c r="O100" s="124"/>
      <c r="P100" s="94" t="s">
        <v>188</v>
      </c>
      <c r="Q100" s="124"/>
      <c r="R100" s="95" t="s">
        <v>223</v>
      </c>
      <c r="S100" s="124"/>
      <c r="T100" s="71" t="s">
        <v>206</v>
      </c>
      <c r="U100" s="124"/>
      <c r="V100" s="98" t="s">
        <v>204</v>
      </c>
      <c r="W100" s="124"/>
      <c r="X100" s="100" t="s">
        <v>245</v>
      </c>
      <c r="Y100" s="98" t="s">
        <v>308</v>
      </c>
      <c r="Z100" s="98" t="s">
        <v>142</v>
      </c>
      <c r="AA100" s="98" t="s">
        <v>287</v>
      </c>
      <c r="AB100" s="98" t="s">
        <v>291</v>
      </c>
      <c r="AC100" s="100" t="s">
        <v>247</v>
      </c>
      <c r="AD100" s="99" t="s">
        <v>269</v>
      </c>
      <c r="AE100" s="100" t="s">
        <v>207</v>
      </c>
      <c r="AF100" s="98" t="s">
        <v>252</v>
      </c>
      <c r="AG100" s="98" t="s">
        <v>288</v>
      </c>
      <c r="AH100" s="100" t="s">
        <v>224</v>
      </c>
      <c r="AI100" s="98" t="s">
        <v>252</v>
      </c>
      <c r="AJ100" s="103" t="s">
        <v>209</v>
      </c>
      <c r="AK100" s="98" t="s">
        <v>209</v>
      </c>
      <c r="AL100" s="185" t="s">
        <v>165</v>
      </c>
      <c r="AM100" s="100" t="s">
        <v>119</v>
      </c>
      <c r="AN100" s="100" t="s">
        <v>97</v>
      </c>
    </row>
    <row r="101" spans="1:47" ht="15.75">
      <c r="B101" s="15">
        <f t="shared" si="2"/>
        <v>46104</v>
      </c>
      <c r="C101" s="23" t="s">
        <v>289</v>
      </c>
      <c r="F101" s="124"/>
      <c r="G101" s="124"/>
      <c r="H101" s="124"/>
      <c r="I101" s="124"/>
      <c r="J101" s="124"/>
      <c r="K101" s="98" t="s">
        <v>90</v>
      </c>
      <c r="L101" s="99" t="s">
        <v>179</v>
      </c>
      <c r="M101" s="124"/>
      <c r="N101" s="96" t="s">
        <v>139</v>
      </c>
      <c r="O101" s="124"/>
      <c r="P101" s="71" t="s">
        <v>93</v>
      </c>
      <c r="Q101" s="124"/>
      <c r="R101" s="95" t="s">
        <v>226</v>
      </c>
      <c r="S101" s="124"/>
      <c r="T101" s="71" t="s">
        <v>206</v>
      </c>
      <c r="U101" s="124"/>
      <c r="V101" s="98" t="s">
        <v>204</v>
      </c>
      <c r="W101" s="124"/>
      <c r="X101" s="100" t="s">
        <v>207</v>
      </c>
      <c r="Y101" s="98" t="s">
        <v>310</v>
      </c>
      <c r="Z101" s="98" t="s">
        <v>154</v>
      </c>
      <c r="AA101" s="99" t="s">
        <v>93</v>
      </c>
      <c r="AB101" s="98" t="s">
        <v>291</v>
      </c>
      <c r="AC101" s="98" t="s">
        <v>251</v>
      </c>
      <c r="AD101" s="99" t="s">
        <v>269</v>
      </c>
      <c r="AE101" s="98" t="s">
        <v>212</v>
      </c>
      <c r="AF101" s="98" t="s">
        <v>257</v>
      </c>
      <c r="AG101" s="98" t="s">
        <v>291</v>
      </c>
      <c r="AH101" s="158" t="s">
        <v>227</v>
      </c>
      <c r="AI101" s="98" t="s">
        <v>257</v>
      </c>
      <c r="AJ101" s="169" t="s">
        <v>209</v>
      </c>
      <c r="AK101" s="99" t="s">
        <v>213</v>
      </c>
      <c r="AL101" s="99" t="s">
        <v>165</v>
      </c>
      <c r="AM101" s="98" t="s">
        <v>135</v>
      </c>
      <c r="AN101" s="100" t="s">
        <v>119</v>
      </c>
    </row>
    <row r="102" spans="1:47" ht="15.75">
      <c r="A102" s="39" t="s">
        <v>326</v>
      </c>
      <c r="B102" s="24">
        <f t="shared" si="2"/>
        <v>46111</v>
      </c>
      <c r="C102" s="78" t="s">
        <v>292</v>
      </c>
      <c r="D102" s="39"/>
      <c r="E102" s="39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39"/>
      <c r="AF102" s="39"/>
      <c r="AG102" s="39"/>
      <c r="AH102" s="39"/>
      <c r="AI102" s="39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</row>
    <row r="103" spans="1:47" ht="15.75">
      <c r="B103" s="15">
        <f>B102+7</f>
        <v>46118</v>
      </c>
      <c r="C103" s="23" t="s">
        <v>295</v>
      </c>
      <c r="F103" s="124"/>
      <c r="G103" s="124"/>
      <c r="H103" s="124"/>
      <c r="I103" s="124"/>
      <c r="J103" s="124"/>
      <c r="K103" s="98" t="s">
        <v>90</v>
      </c>
      <c r="L103" s="100" t="s">
        <v>91</v>
      </c>
      <c r="M103" s="124"/>
      <c r="N103" s="95" t="s">
        <v>92</v>
      </c>
      <c r="O103" s="124"/>
      <c r="P103" s="71" t="s">
        <v>254</v>
      </c>
      <c r="Q103" s="124"/>
      <c r="R103" s="95" t="s">
        <v>226</v>
      </c>
      <c r="S103" s="124"/>
      <c r="T103" s="95" t="s">
        <v>211</v>
      </c>
      <c r="U103" s="124"/>
      <c r="V103" s="99" t="s">
        <v>96</v>
      </c>
      <c r="W103" s="124"/>
      <c r="X103" s="100" t="s">
        <v>207</v>
      </c>
      <c r="Y103" s="99" t="s">
        <v>293</v>
      </c>
      <c r="Z103" s="98" t="s">
        <v>154</v>
      </c>
      <c r="AA103" s="100" t="s">
        <v>294</v>
      </c>
      <c r="AB103" s="98" t="s">
        <v>103</v>
      </c>
      <c r="AC103" s="99" t="s">
        <v>255</v>
      </c>
      <c r="AD103" s="100" t="s">
        <v>273</v>
      </c>
      <c r="AE103" s="98" t="s">
        <v>170</v>
      </c>
      <c r="AF103" s="98" t="s">
        <v>257</v>
      </c>
      <c r="AG103" s="99" t="s">
        <v>103</v>
      </c>
      <c r="AH103" s="98" t="s">
        <v>227</v>
      </c>
      <c r="AI103" s="98" t="s">
        <v>260</v>
      </c>
      <c r="AJ103" s="106" t="s">
        <v>213</v>
      </c>
      <c r="AK103" s="100" t="s">
        <v>217</v>
      </c>
      <c r="AL103" s="100" t="s">
        <v>177</v>
      </c>
      <c r="AM103" s="98" t="s">
        <v>145</v>
      </c>
      <c r="AN103" s="100" t="s">
        <v>119</v>
      </c>
    </row>
    <row r="104" spans="1:47" ht="15.75">
      <c r="B104" s="15">
        <f t="shared" si="2"/>
        <v>46125</v>
      </c>
      <c r="C104" s="23" t="s">
        <v>298</v>
      </c>
      <c r="F104" s="124"/>
      <c r="G104" s="124"/>
      <c r="H104" s="124"/>
      <c r="I104" s="124"/>
      <c r="J104" s="124"/>
      <c r="K104" s="98" t="s">
        <v>121</v>
      </c>
      <c r="L104" s="100" t="s">
        <v>91</v>
      </c>
      <c r="M104" s="124"/>
      <c r="N104" s="95" t="s">
        <v>92</v>
      </c>
      <c r="O104" s="124"/>
      <c r="P104" s="95" t="s">
        <v>98</v>
      </c>
      <c r="Q104" s="124"/>
      <c r="R104" s="95" t="s">
        <v>230</v>
      </c>
      <c r="S104" s="124"/>
      <c r="T104" s="95" t="s">
        <v>211</v>
      </c>
      <c r="U104" s="124"/>
      <c r="V104" s="99" t="s">
        <v>96</v>
      </c>
      <c r="W104" s="124"/>
      <c r="X104" s="98" t="s">
        <v>212</v>
      </c>
      <c r="Y104" s="100" t="s">
        <v>122</v>
      </c>
      <c r="Z104" s="98" t="s">
        <v>162</v>
      </c>
      <c r="AA104" s="98" t="s">
        <v>296</v>
      </c>
      <c r="AB104" s="99" t="s">
        <v>103</v>
      </c>
      <c r="AC104" s="100" t="s">
        <v>113</v>
      </c>
      <c r="AD104" s="100" t="s">
        <v>273</v>
      </c>
      <c r="AE104" s="98" t="s">
        <v>189</v>
      </c>
      <c r="AF104" s="98" t="s">
        <v>260</v>
      </c>
      <c r="AG104" s="100" t="s">
        <v>115</v>
      </c>
      <c r="AH104" s="98" t="s">
        <v>232</v>
      </c>
      <c r="AI104" s="98" t="s">
        <v>263</v>
      </c>
      <c r="AJ104" s="99" t="s">
        <v>213</v>
      </c>
      <c r="AK104" s="99" t="s">
        <v>220</v>
      </c>
      <c r="AL104" s="100" t="s">
        <v>177</v>
      </c>
      <c r="AM104" s="98" t="s">
        <v>157</v>
      </c>
      <c r="AN104" s="103" t="s">
        <v>135</v>
      </c>
    </row>
    <row r="105" spans="1:47" ht="15.75">
      <c r="B105" s="15">
        <f t="shared" si="2"/>
        <v>46132</v>
      </c>
      <c r="C105" s="23" t="s">
        <v>299</v>
      </c>
      <c r="F105" s="124"/>
      <c r="G105" s="124"/>
      <c r="H105" s="124"/>
      <c r="I105" s="124"/>
      <c r="J105" s="124"/>
      <c r="K105" s="98" t="s">
        <v>121</v>
      </c>
      <c r="L105" s="98" t="s">
        <v>122</v>
      </c>
      <c r="M105" s="124"/>
      <c r="N105" s="95" t="s">
        <v>110</v>
      </c>
      <c r="O105" s="124"/>
      <c r="P105" s="95" t="s">
        <v>98</v>
      </c>
      <c r="Q105" s="124"/>
      <c r="R105" s="95" t="s">
        <v>230</v>
      </c>
      <c r="S105" s="124"/>
      <c r="T105" s="72" t="s">
        <v>216</v>
      </c>
      <c r="U105" s="124"/>
      <c r="V105" s="100" t="s">
        <v>231</v>
      </c>
      <c r="W105" s="124"/>
      <c r="X105" s="98" t="s">
        <v>212</v>
      </c>
      <c r="Y105" s="98" t="s">
        <v>148</v>
      </c>
      <c r="Z105" s="98" t="s">
        <v>162</v>
      </c>
      <c r="AA105" s="98" t="s">
        <v>300</v>
      </c>
      <c r="AB105" s="99" t="s">
        <v>327</v>
      </c>
      <c r="AC105" s="98" t="s">
        <v>127</v>
      </c>
      <c r="AD105" s="98" t="s">
        <v>278</v>
      </c>
      <c r="AE105" s="98" t="s">
        <v>204</v>
      </c>
      <c r="AF105" s="98" t="s">
        <v>260</v>
      </c>
      <c r="AG105" s="98" t="s">
        <v>131</v>
      </c>
      <c r="AH105" s="98" t="s">
        <v>232</v>
      </c>
      <c r="AI105" s="98" t="s">
        <v>266</v>
      </c>
      <c r="AJ105" s="100" t="s">
        <v>217</v>
      </c>
      <c r="AK105" s="100" t="s">
        <v>224</v>
      </c>
      <c r="AL105" s="103" t="s">
        <v>185</v>
      </c>
      <c r="AM105" s="99" t="s">
        <v>165</v>
      </c>
      <c r="AN105" s="103" t="s">
        <v>135</v>
      </c>
    </row>
    <row r="106" spans="1:47" ht="15.75">
      <c r="B106" s="15">
        <f t="shared" si="2"/>
        <v>46139</v>
      </c>
      <c r="C106" s="23" t="s">
        <v>302</v>
      </c>
      <c r="F106" s="124"/>
      <c r="G106" s="124"/>
      <c r="H106" s="124"/>
      <c r="I106" s="124"/>
      <c r="J106" s="124"/>
      <c r="K106" s="99" t="s">
        <v>147</v>
      </c>
      <c r="L106" s="98" t="s">
        <v>122</v>
      </c>
      <c r="M106" s="124"/>
      <c r="N106" s="95" t="s">
        <v>110</v>
      </c>
      <c r="O106" s="124"/>
      <c r="P106" s="95" t="s">
        <v>112</v>
      </c>
      <c r="Q106" s="124"/>
      <c r="R106" s="72" t="s">
        <v>234</v>
      </c>
      <c r="S106" s="124"/>
      <c r="T106" s="72" t="s">
        <v>216</v>
      </c>
      <c r="U106" s="124"/>
      <c r="V106" s="100" t="s">
        <v>231</v>
      </c>
      <c r="W106" s="124"/>
      <c r="X106" s="98" t="s">
        <v>170</v>
      </c>
      <c r="Y106" s="98" t="s">
        <v>168</v>
      </c>
      <c r="Z106" s="99" t="s">
        <v>174</v>
      </c>
      <c r="AA106" s="98" t="s">
        <v>139</v>
      </c>
      <c r="AB106" s="100" t="s">
        <v>115</v>
      </c>
      <c r="AC106" s="98" t="s">
        <v>140</v>
      </c>
      <c r="AD106" s="98" t="s">
        <v>278</v>
      </c>
      <c r="AE106" s="99" t="s">
        <v>96</v>
      </c>
      <c r="AF106" s="98" t="s">
        <v>263</v>
      </c>
      <c r="AG106" s="98" t="s">
        <v>142</v>
      </c>
      <c r="AH106" s="99" t="s">
        <v>236</v>
      </c>
      <c r="AI106" s="99" t="s">
        <v>269</v>
      </c>
      <c r="AJ106" s="100" t="s">
        <v>217</v>
      </c>
      <c r="AK106" s="98" t="s">
        <v>227</v>
      </c>
      <c r="AL106" s="103" t="s">
        <v>185</v>
      </c>
      <c r="AM106" s="100" t="s">
        <v>177</v>
      </c>
      <c r="AN106" s="103" t="s">
        <v>145</v>
      </c>
    </row>
    <row r="107" spans="1:47" ht="15.75">
      <c r="B107" s="15">
        <f t="shared" si="2"/>
        <v>46146</v>
      </c>
      <c r="C107" s="23" t="s">
        <v>303</v>
      </c>
      <c r="F107" s="124"/>
      <c r="G107" s="124"/>
      <c r="H107" s="124"/>
      <c r="I107" s="124"/>
      <c r="J107" s="124"/>
      <c r="K107" s="99" t="s">
        <v>147</v>
      </c>
      <c r="L107" s="98" t="s">
        <v>148</v>
      </c>
      <c r="M107" s="124"/>
      <c r="N107" s="95" t="s">
        <v>137</v>
      </c>
      <c r="O107" s="124"/>
      <c r="P107" s="95" t="s">
        <v>112</v>
      </c>
      <c r="Q107" s="124"/>
      <c r="R107" s="72" t="s">
        <v>234</v>
      </c>
      <c r="S107" s="124"/>
      <c r="T107" s="71" t="s">
        <v>219</v>
      </c>
      <c r="U107" s="124"/>
      <c r="V107" s="98" t="s">
        <v>235</v>
      </c>
      <c r="W107" s="124"/>
      <c r="X107" s="98" t="s">
        <v>170</v>
      </c>
      <c r="Y107" s="98" t="s">
        <v>90</v>
      </c>
      <c r="Z107" s="99" t="s">
        <v>174</v>
      </c>
      <c r="AA107" s="98" t="s">
        <v>92</v>
      </c>
      <c r="AB107" s="100" t="s">
        <v>131</v>
      </c>
      <c r="AC107" s="98" t="s">
        <v>94</v>
      </c>
      <c r="AD107" s="98" t="s">
        <v>283</v>
      </c>
      <c r="AE107" s="100" t="s">
        <v>231</v>
      </c>
      <c r="AF107" s="98" t="s">
        <v>263</v>
      </c>
      <c r="AG107" s="98" t="s">
        <v>154</v>
      </c>
      <c r="AH107" s="99" t="s">
        <v>236</v>
      </c>
      <c r="AI107" s="100" t="s">
        <v>273</v>
      </c>
      <c r="AJ107" s="99" t="s">
        <v>220</v>
      </c>
      <c r="AK107" s="98" t="s">
        <v>232</v>
      </c>
      <c r="AL107" s="103" t="s">
        <v>196</v>
      </c>
      <c r="AM107" s="98" t="s">
        <v>185</v>
      </c>
      <c r="AN107" s="103" t="s">
        <v>145</v>
      </c>
    </row>
    <row r="108" spans="1:47" ht="15.75">
      <c r="B108" s="15">
        <f t="shared" si="2"/>
        <v>46153</v>
      </c>
      <c r="C108" s="23" t="s">
        <v>304</v>
      </c>
      <c r="F108" s="124"/>
      <c r="G108" s="124"/>
      <c r="H108" s="124"/>
      <c r="I108" s="124"/>
      <c r="J108" s="124"/>
      <c r="K108" s="100" t="s">
        <v>167</v>
      </c>
      <c r="L108" s="98" t="s">
        <v>148</v>
      </c>
      <c r="M108" s="124"/>
      <c r="N108" s="95" t="s">
        <v>137</v>
      </c>
      <c r="O108" s="124"/>
      <c r="P108" s="94" t="s">
        <v>125</v>
      </c>
      <c r="Q108" s="124"/>
      <c r="R108" s="71" t="s">
        <v>238</v>
      </c>
      <c r="S108" s="124"/>
      <c r="T108" s="71" t="s">
        <v>219</v>
      </c>
      <c r="U108" s="124"/>
      <c r="V108" s="98" t="s">
        <v>235</v>
      </c>
      <c r="W108" s="124"/>
      <c r="X108" s="98" t="s">
        <v>189</v>
      </c>
      <c r="Y108" s="98" t="s">
        <v>121</v>
      </c>
      <c r="Z108" s="100" t="s">
        <v>182</v>
      </c>
      <c r="AA108" s="99" t="s">
        <v>110</v>
      </c>
      <c r="AB108" s="98" t="s">
        <v>131</v>
      </c>
      <c r="AC108" s="99" t="s">
        <v>123</v>
      </c>
      <c r="AD108" s="98" t="s">
        <v>283</v>
      </c>
      <c r="AE108" s="98" t="s">
        <v>235</v>
      </c>
      <c r="AF108" s="98" t="s">
        <v>266</v>
      </c>
      <c r="AG108" s="98" t="s">
        <v>162</v>
      </c>
      <c r="AH108" s="100" t="s">
        <v>239</v>
      </c>
      <c r="AI108" s="98" t="s">
        <v>278</v>
      </c>
      <c r="AJ108" s="99" t="s">
        <v>220</v>
      </c>
      <c r="AK108" s="99" t="s">
        <v>236</v>
      </c>
      <c r="AL108" s="103" t="s">
        <v>196</v>
      </c>
      <c r="AM108" s="98" t="s">
        <v>196</v>
      </c>
      <c r="AN108" s="103" t="s">
        <v>157</v>
      </c>
    </row>
    <row r="109" spans="1:47" ht="15.75">
      <c r="A109" t="s">
        <v>328</v>
      </c>
      <c r="B109" s="15">
        <f t="shared" si="2"/>
        <v>46160</v>
      </c>
      <c r="C109" s="23" t="s">
        <v>305</v>
      </c>
      <c r="F109" s="124"/>
      <c r="G109" s="124"/>
      <c r="H109" s="124"/>
      <c r="I109" s="124"/>
      <c r="J109" s="124"/>
      <c r="K109" s="100" t="s">
        <v>167</v>
      </c>
      <c r="L109" s="98" t="s">
        <v>168</v>
      </c>
      <c r="M109" s="124"/>
      <c r="N109" s="95" t="s">
        <v>159</v>
      </c>
      <c r="O109" s="124"/>
      <c r="P109" s="94" t="s">
        <v>125</v>
      </c>
      <c r="Q109" s="124"/>
      <c r="R109" s="71" t="s">
        <v>238</v>
      </c>
      <c r="S109" s="124"/>
      <c r="T109" s="95" t="s">
        <v>223</v>
      </c>
      <c r="U109" s="124"/>
      <c r="V109" s="99" t="s">
        <v>160</v>
      </c>
      <c r="W109" s="124"/>
      <c r="X109" s="98" t="s">
        <v>189</v>
      </c>
      <c r="Y109" s="99" t="s">
        <v>147</v>
      </c>
      <c r="Z109" s="100" t="s">
        <v>182</v>
      </c>
      <c r="AA109" s="100" t="s">
        <v>306</v>
      </c>
      <c r="AB109" s="98" t="s">
        <v>142</v>
      </c>
      <c r="AC109" s="100" t="s">
        <v>277</v>
      </c>
      <c r="AD109" s="98" t="s">
        <v>288</v>
      </c>
      <c r="AE109" s="99" t="s">
        <v>160</v>
      </c>
      <c r="AF109" s="98" t="s">
        <v>266</v>
      </c>
      <c r="AG109" s="99" t="s">
        <v>174</v>
      </c>
      <c r="AH109" s="100" t="s">
        <v>239</v>
      </c>
      <c r="AI109" s="98" t="s">
        <v>283</v>
      </c>
      <c r="AJ109" s="100" t="s">
        <v>224</v>
      </c>
      <c r="AK109" s="159" t="s">
        <v>239</v>
      </c>
      <c r="AL109" s="103" t="s">
        <v>202</v>
      </c>
      <c r="AM109" s="98" t="s">
        <v>202</v>
      </c>
      <c r="AN109" s="183" t="s">
        <v>157</v>
      </c>
    </row>
    <row r="110" spans="1:47" ht="15.75">
      <c r="B110" s="15">
        <f t="shared" si="2"/>
        <v>46167</v>
      </c>
      <c r="C110" s="23" t="s">
        <v>307</v>
      </c>
      <c r="F110" s="124"/>
      <c r="G110" s="124"/>
      <c r="H110" s="124"/>
      <c r="I110" s="124"/>
      <c r="J110" s="124"/>
      <c r="K110" s="99" t="s">
        <v>187</v>
      </c>
      <c r="L110" s="98" t="s">
        <v>168</v>
      </c>
      <c r="M110" s="124"/>
      <c r="N110" s="95" t="s">
        <v>159</v>
      </c>
      <c r="O110" s="124"/>
      <c r="P110" s="96" t="s">
        <v>139</v>
      </c>
      <c r="Q110" s="124"/>
      <c r="R110" s="95" t="s">
        <v>246</v>
      </c>
      <c r="S110" s="124"/>
      <c r="T110" s="95" t="s">
        <v>223</v>
      </c>
      <c r="U110" s="124"/>
      <c r="V110" s="99" t="s">
        <v>160</v>
      </c>
      <c r="W110" s="124"/>
      <c r="X110" s="98" t="s">
        <v>204</v>
      </c>
      <c r="Y110" s="100" t="s">
        <v>167</v>
      </c>
      <c r="Z110" s="98" t="s">
        <v>193</v>
      </c>
      <c r="AA110" s="98" t="s">
        <v>308</v>
      </c>
      <c r="AB110" s="98" t="s">
        <v>142</v>
      </c>
      <c r="AC110" s="98" t="s">
        <v>282</v>
      </c>
      <c r="AD110" s="98" t="s">
        <v>288</v>
      </c>
      <c r="AE110" s="100" t="s">
        <v>247</v>
      </c>
      <c r="AF110" s="99" t="s">
        <v>269</v>
      </c>
      <c r="AG110" s="100" t="s">
        <v>182</v>
      </c>
      <c r="AH110" s="98" t="s">
        <v>248</v>
      </c>
      <c r="AI110" s="98" t="s">
        <v>288</v>
      </c>
      <c r="AJ110" s="100" t="s">
        <v>224</v>
      </c>
      <c r="AK110" s="98" t="s">
        <v>248</v>
      </c>
      <c r="AL110" s="103" t="s">
        <v>202</v>
      </c>
      <c r="AM110" s="98" t="s">
        <v>209</v>
      </c>
      <c r="AN110" s="185" t="s">
        <v>165</v>
      </c>
    </row>
    <row r="111" spans="1:47" ht="15.75">
      <c r="B111" s="15">
        <f t="shared" si="2"/>
        <v>46174</v>
      </c>
      <c r="C111" s="23" t="s">
        <v>309</v>
      </c>
      <c r="F111" s="124"/>
      <c r="G111" s="124"/>
      <c r="H111" s="124"/>
      <c r="I111" s="124"/>
      <c r="J111" s="124"/>
      <c r="K111" s="99" t="s">
        <v>187</v>
      </c>
      <c r="L111" s="98" t="s">
        <v>90</v>
      </c>
      <c r="M111" s="124"/>
      <c r="N111" s="72" t="s">
        <v>179</v>
      </c>
      <c r="O111" s="124"/>
      <c r="P111" s="96" t="s">
        <v>139</v>
      </c>
      <c r="Q111" s="124"/>
      <c r="R111" s="95" t="s">
        <v>246</v>
      </c>
      <c r="S111" s="124"/>
      <c r="T111" s="98" t="s">
        <v>140</v>
      </c>
      <c r="U111" s="124"/>
      <c r="V111" s="100" t="s">
        <v>247</v>
      </c>
      <c r="W111" s="124"/>
      <c r="X111" s="98" t="s">
        <v>204</v>
      </c>
      <c r="Y111" s="99" t="s">
        <v>187</v>
      </c>
      <c r="Z111" s="98" t="s">
        <v>193</v>
      </c>
      <c r="AA111" s="98" t="s">
        <v>310</v>
      </c>
      <c r="AB111" s="98" t="s">
        <v>154</v>
      </c>
      <c r="AC111" s="98" t="s">
        <v>287</v>
      </c>
      <c r="AD111" s="98" t="s">
        <v>291</v>
      </c>
      <c r="AE111" s="98" t="s">
        <v>251</v>
      </c>
      <c r="AF111" s="99" t="s">
        <v>269</v>
      </c>
      <c r="AG111" s="99" t="s">
        <v>193</v>
      </c>
      <c r="AH111" s="98" t="s">
        <v>248</v>
      </c>
      <c r="AI111" s="98" t="s">
        <v>291</v>
      </c>
      <c r="AJ111" s="167" t="s">
        <v>227</v>
      </c>
      <c r="AK111" s="98" t="s">
        <v>252</v>
      </c>
      <c r="AL111" s="103" t="s">
        <v>209</v>
      </c>
      <c r="AM111" s="99" t="s">
        <v>213</v>
      </c>
      <c r="AN111" s="99" t="s">
        <v>165</v>
      </c>
    </row>
    <row r="112" spans="1:47" ht="15.75">
      <c r="A112" s="270" t="s">
        <v>311</v>
      </c>
      <c r="B112" s="40">
        <f t="shared" si="2"/>
        <v>46181</v>
      </c>
      <c r="C112" s="25" t="s">
        <v>312</v>
      </c>
      <c r="D112" s="38"/>
      <c r="E112" s="38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99" t="s">
        <v>255</v>
      </c>
      <c r="AF112" s="38"/>
      <c r="AG112" s="38"/>
      <c r="AH112" s="20"/>
      <c r="AI112" s="20"/>
      <c r="AJ112" s="176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</row>
    <row r="113" spans="1:47" ht="15.75">
      <c r="A113" s="271"/>
      <c r="B113" s="40">
        <f t="shared" si="2"/>
        <v>46188</v>
      </c>
      <c r="C113" s="25" t="s">
        <v>313</v>
      </c>
      <c r="D113" s="20"/>
      <c r="E113" s="20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20"/>
      <c r="AF113" s="20"/>
      <c r="AG113" s="20"/>
      <c r="AH113" s="20"/>
      <c r="AI113" s="20"/>
      <c r="AJ113" s="176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</row>
    <row r="114" spans="1:47" ht="15.75">
      <c r="A114" s="271"/>
      <c r="B114" s="40">
        <f t="shared" si="2"/>
        <v>46195</v>
      </c>
      <c r="C114" s="25" t="s">
        <v>314</v>
      </c>
      <c r="D114" s="20"/>
      <c r="E114" s="20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20"/>
      <c r="AF114" s="20"/>
      <c r="AG114" s="20"/>
      <c r="AH114" s="20"/>
      <c r="AI114" s="20"/>
      <c r="AJ114" s="176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</row>
    <row r="115" spans="1:47" ht="15.75">
      <c r="A115" s="271"/>
      <c r="B115" s="40">
        <f t="shared" si="2"/>
        <v>46202</v>
      </c>
      <c r="C115" s="25" t="s">
        <v>315</v>
      </c>
      <c r="D115" s="20"/>
      <c r="E115" s="20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20"/>
      <c r="AF115" s="20"/>
      <c r="AG115" s="20"/>
      <c r="AH115" s="20"/>
      <c r="AI115" s="20"/>
      <c r="AJ115" s="176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</row>
    <row r="116" spans="1:47" ht="15.75">
      <c r="A116" s="271"/>
      <c r="B116" s="40">
        <f t="shared" si="2"/>
        <v>46209</v>
      </c>
      <c r="C116" s="25" t="s">
        <v>316</v>
      </c>
      <c r="D116" s="20"/>
      <c r="E116" s="20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20"/>
      <c r="AF116" s="20"/>
      <c r="AG116" s="20"/>
      <c r="AH116" s="20"/>
      <c r="AI116" s="20"/>
      <c r="AJ116" s="176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</row>
    <row r="117" spans="1:47" ht="15.75">
      <c r="A117" s="271"/>
      <c r="B117" s="40">
        <f t="shared" si="2"/>
        <v>46216</v>
      </c>
      <c r="C117" s="25" t="s">
        <v>317</v>
      </c>
      <c r="D117" s="20"/>
      <c r="E117" s="20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20"/>
      <c r="AF117" s="20"/>
      <c r="AG117" s="20"/>
      <c r="AH117" s="20"/>
      <c r="AI117" s="20"/>
      <c r="AJ117" s="176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</row>
    <row r="118" spans="1:47" ht="15.75">
      <c r="A118" s="271"/>
      <c r="B118" s="40">
        <f t="shared" si="2"/>
        <v>46223</v>
      </c>
      <c r="C118" s="25" t="s">
        <v>318</v>
      </c>
      <c r="D118" s="20"/>
      <c r="E118" s="20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20"/>
      <c r="AF118" s="20"/>
      <c r="AG118" s="20"/>
      <c r="AH118" s="20"/>
      <c r="AI118" s="20"/>
      <c r="AJ118" s="176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</row>
    <row r="119" spans="1:47" ht="15.75">
      <c r="A119" s="271"/>
      <c r="B119" s="40">
        <f t="shared" si="2"/>
        <v>46230</v>
      </c>
      <c r="C119" s="25" t="s">
        <v>319</v>
      </c>
      <c r="D119" s="20"/>
      <c r="E119" s="20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20"/>
      <c r="AF119" s="20"/>
      <c r="AG119" s="20"/>
      <c r="AH119" s="20"/>
      <c r="AI119" s="20"/>
      <c r="AJ119" s="176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</row>
    <row r="120" spans="1:47" ht="15.75">
      <c r="A120" s="272"/>
      <c r="B120" s="40">
        <f t="shared" si="2"/>
        <v>46237</v>
      </c>
      <c r="C120" s="25" t="s">
        <v>320</v>
      </c>
      <c r="D120" s="27"/>
      <c r="E120" s="27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27"/>
      <c r="AF120" s="27"/>
      <c r="AG120" s="27"/>
      <c r="AH120" s="27"/>
      <c r="AI120" s="27"/>
      <c r="AJ120" s="177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</row>
    <row r="121" spans="1:47" ht="15.75">
      <c r="A121" s="26" t="s">
        <v>88</v>
      </c>
      <c r="B121" s="15">
        <f t="shared" si="2"/>
        <v>46244</v>
      </c>
      <c r="C121" s="23" t="s">
        <v>89</v>
      </c>
      <c r="F121" s="124"/>
      <c r="G121" s="124"/>
      <c r="H121" s="124"/>
      <c r="I121" s="124"/>
      <c r="J121" s="124"/>
      <c r="K121" s="124"/>
      <c r="L121" s="98" t="s">
        <v>90</v>
      </c>
      <c r="M121" s="124"/>
      <c r="N121" s="72" t="s">
        <v>179</v>
      </c>
      <c r="O121" s="124"/>
      <c r="P121" s="95" t="s">
        <v>92</v>
      </c>
      <c r="Q121" s="124"/>
      <c r="R121" s="95" t="s">
        <v>250</v>
      </c>
      <c r="S121" s="124"/>
      <c r="T121" s="95" t="s">
        <v>226</v>
      </c>
      <c r="U121" s="124"/>
      <c r="V121" s="100" t="s">
        <v>247</v>
      </c>
      <c r="W121" s="124"/>
      <c r="X121" s="99" t="s">
        <v>96</v>
      </c>
      <c r="Y121" s="124"/>
      <c r="Z121" s="100" t="s">
        <v>97</v>
      </c>
      <c r="AA121" s="99" t="s">
        <v>293</v>
      </c>
      <c r="AB121" s="98" t="s">
        <v>154</v>
      </c>
      <c r="AC121" s="99" t="s">
        <v>93</v>
      </c>
      <c r="AD121" s="98" t="s">
        <v>291</v>
      </c>
      <c r="AE121" s="100" t="s">
        <v>113</v>
      </c>
      <c r="AF121" s="100" t="s">
        <v>273</v>
      </c>
      <c r="AG121" s="100" t="s">
        <v>245</v>
      </c>
      <c r="AH121" s="98" t="s">
        <v>252</v>
      </c>
      <c r="AI121" s="99" t="s">
        <v>103</v>
      </c>
      <c r="AJ121" s="103" t="s">
        <v>227</v>
      </c>
      <c r="AK121" s="98" t="s">
        <v>257</v>
      </c>
      <c r="AL121" s="169" t="s">
        <v>209</v>
      </c>
      <c r="AM121" s="100" t="s">
        <v>217</v>
      </c>
      <c r="AN121" s="100" t="s">
        <v>177</v>
      </c>
      <c r="AO121" s="100" t="s">
        <v>97</v>
      </c>
    </row>
    <row r="122" spans="1:47" ht="15.75">
      <c r="B122" s="15">
        <f t="shared" si="2"/>
        <v>46251</v>
      </c>
      <c r="C122" s="23" t="s">
        <v>109</v>
      </c>
      <c r="F122" s="124"/>
      <c r="G122" s="124"/>
      <c r="H122" s="124"/>
      <c r="I122" s="124"/>
      <c r="J122" s="124"/>
      <c r="K122" s="124"/>
      <c r="L122" s="98" t="s">
        <v>121</v>
      </c>
      <c r="M122" s="124"/>
      <c r="N122" s="71" t="s">
        <v>91</v>
      </c>
      <c r="O122" s="124"/>
      <c r="P122" s="95" t="s">
        <v>92</v>
      </c>
      <c r="Q122" s="124"/>
      <c r="R122" s="95" t="s">
        <v>250</v>
      </c>
      <c r="S122" s="124"/>
      <c r="T122" s="95" t="s">
        <v>230</v>
      </c>
      <c r="U122" s="124"/>
      <c r="V122" s="98" t="s">
        <v>251</v>
      </c>
      <c r="W122" s="124"/>
      <c r="X122" s="99" t="s">
        <v>96</v>
      </c>
      <c r="Y122" s="124"/>
      <c r="Z122" s="100" t="s">
        <v>97</v>
      </c>
      <c r="AA122" s="100" t="s">
        <v>122</v>
      </c>
      <c r="AB122" s="98" t="s">
        <v>162</v>
      </c>
      <c r="AC122" s="100" t="s">
        <v>294</v>
      </c>
      <c r="AD122" s="99" t="s">
        <v>103</v>
      </c>
      <c r="AE122" s="98" t="s">
        <v>127</v>
      </c>
      <c r="AF122" s="100" t="s">
        <v>273</v>
      </c>
      <c r="AG122" s="100" t="s">
        <v>207</v>
      </c>
      <c r="AH122" s="98" t="s">
        <v>252</v>
      </c>
      <c r="AI122" s="100" t="s">
        <v>115</v>
      </c>
      <c r="AJ122" s="103" t="s">
        <v>232</v>
      </c>
      <c r="AK122" s="98" t="s">
        <v>260</v>
      </c>
      <c r="AL122" s="106" t="s">
        <v>213</v>
      </c>
      <c r="AM122" s="99" t="s">
        <v>220</v>
      </c>
      <c r="AN122" s="100" t="s">
        <v>177</v>
      </c>
      <c r="AO122" s="100" t="s">
        <v>119</v>
      </c>
    </row>
    <row r="123" spans="1:47" ht="15.75">
      <c r="B123" s="15">
        <f t="shared" si="2"/>
        <v>46258</v>
      </c>
      <c r="C123" s="23" t="s">
        <v>120</v>
      </c>
      <c r="F123" s="124"/>
      <c r="G123" s="124"/>
      <c r="H123" s="124"/>
      <c r="I123" s="124"/>
      <c r="J123" s="124"/>
      <c r="K123" s="124"/>
      <c r="L123" s="98" t="s">
        <v>121</v>
      </c>
      <c r="M123" s="124"/>
      <c r="N123" s="71" t="s">
        <v>91</v>
      </c>
      <c r="O123" s="124"/>
      <c r="P123" s="95" t="s">
        <v>110</v>
      </c>
      <c r="Q123" s="124"/>
      <c r="R123" s="72" t="s">
        <v>254</v>
      </c>
      <c r="S123" s="124"/>
      <c r="T123" s="95" t="s">
        <v>230</v>
      </c>
      <c r="U123" s="124"/>
      <c r="V123" s="98" t="s">
        <v>251</v>
      </c>
      <c r="W123" s="124"/>
      <c r="X123" s="100" t="s">
        <v>231</v>
      </c>
      <c r="Y123" s="124"/>
      <c r="Z123" s="100" t="s">
        <v>114</v>
      </c>
      <c r="AA123" s="98" t="s">
        <v>148</v>
      </c>
      <c r="AB123" s="99" t="s">
        <v>162</v>
      </c>
      <c r="AC123" s="98" t="s">
        <v>296</v>
      </c>
      <c r="AD123" s="99" t="s">
        <v>103</v>
      </c>
      <c r="AE123" s="98" t="s">
        <v>140</v>
      </c>
      <c r="AF123" s="98" t="s">
        <v>278</v>
      </c>
      <c r="AG123" s="98" t="s">
        <v>212</v>
      </c>
      <c r="AH123" s="98" t="s">
        <v>257</v>
      </c>
      <c r="AI123" s="98" t="s">
        <v>131</v>
      </c>
      <c r="AJ123" s="103" t="s">
        <v>232</v>
      </c>
      <c r="AK123" s="98" t="s">
        <v>263</v>
      </c>
      <c r="AL123" s="99" t="s">
        <v>213</v>
      </c>
      <c r="AM123" s="100" t="s">
        <v>224</v>
      </c>
      <c r="AN123" s="103" t="s">
        <v>185</v>
      </c>
      <c r="AO123" s="98" t="s">
        <v>135</v>
      </c>
    </row>
    <row r="124" spans="1:47" ht="15.75">
      <c r="B124" s="15">
        <f t="shared" si="2"/>
        <v>46265</v>
      </c>
      <c r="C124" s="23" t="s">
        <v>136</v>
      </c>
      <c r="F124" s="124"/>
      <c r="G124" s="124"/>
      <c r="H124" s="124"/>
      <c r="I124" s="124"/>
      <c r="J124" s="124"/>
      <c r="K124" s="124"/>
      <c r="L124" s="99" t="s">
        <v>147</v>
      </c>
      <c r="M124" s="124"/>
      <c r="N124" s="95" t="s">
        <v>122</v>
      </c>
      <c r="O124" s="124"/>
      <c r="P124" s="95" t="s">
        <v>110</v>
      </c>
      <c r="Q124" s="124"/>
      <c r="R124" s="72" t="s">
        <v>254</v>
      </c>
      <c r="S124" s="124"/>
      <c r="T124" s="72" t="s">
        <v>234</v>
      </c>
      <c r="U124" s="124"/>
      <c r="V124" s="99" t="s">
        <v>255</v>
      </c>
      <c r="W124" s="124"/>
      <c r="X124" s="100" t="s">
        <v>231</v>
      </c>
      <c r="Y124" s="124"/>
      <c r="Z124" s="100" t="s">
        <v>114</v>
      </c>
      <c r="AA124" s="98" t="s">
        <v>168</v>
      </c>
      <c r="AB124" s="99" t="s">
        <v>174</v>
      </c>
      <c r="AC124" s="98" t="s">
        <v>300</v>
      </c>
      <c r="AD124" s="100" t="s">
        <v>115</v>
      </c>
      <c r="AE124" s="98" t="s">
        <v>94</v>
      </c>
      <c r="AF124" s="98" t="s">
        <v>278</v>
      </c>
      <c r="AG124" s="98" t="s">
        <v>170</v>
      </c>
      <c r="AH124" s="98" t="s">
        <v>257</v>
      </c>
      <c r="AI124" s="98" t="s">
        <v>142</v>
      </c>
      <c r="AJ124" s="99" t="s">
        <v>236</v>
      </c>
      <c r="AK124" s="98" t="s">
        <v>266</v>
      </c>
      <c r="AL124" s="100" t="s">
        <v>217</v>
      </c>
      <c r="AM124" s="98" t="s">
        <v>227</v>
      </c>
      <c r="AN124" s="103" t="s">
        <v>185</v>
      </c>
      <c r="AO124" s="98" t="s">
        <v>145</v>
      </c>
    </row>
    <row r="125" spans="1:47" ht="15.75">
      <c r="B125" s="15">
        <f t="shared" si="2"/>
        <v>46272</v>
      </c>
      <c r="C125" s="23" t="s">
        <v>146</v>
      </c>
      <c r="F125" s="124"/>
      <c r="G125" s="124"/>
      <c r="H125" s="124"/>
      <c r="I125" s="124"/>
      <c r="J125" s="124"/>
      <c r="K125" s="124"/>
      <c r="L125" s="99" t="s">
        <v>147</v>
      </c>
      <c r="M125" s="124"/>
      <c r="N125" s="95" t="s">
        <v>122</v>
      </c>
      <c r="O125" s="124"/>
      <c r="P125" s="95" t="s">
        <v>137</v>
      </c>
      <c r="Q125" s="124"/>
      <c r="R125" s="71" t="s">
        <v>259</v>
      </c>
      <c r="S125" s="124"/>
      <c r="T125" s="72" t="s">
        <v>234</v>
      </c>
      <c r="U125" s="124"/>
      <c r="V125" s="99" t="s">
        <v>255</v>
      </c>
      <c r="W125" s="124"/>
      <c r="X125" s="98" t="s">
        <v>235</v>
      </c>
      <c r="Y125" s="124"/>
      <c r="Z125" s="98" t="s">
        <v>129</v>
      </c>
      <c r="AA125" s="98" t="s">
        <v>90</v>
      </c>
      <c r="AB125" s="100" t="s">
        <v>174</v>
      </c>
      <c r="AC125" s="98" t="s">
        <v>139</v>
      </c>
      <c r="AD125" s="100" t="s">
        <v>115</v>
      </c>
      <c r="AE125" s="99" t="s">
        <v>123</v>
      </c>
      <c r="AF125" s="98" t="s">
        <v>283</v>
      </c>
      <c r="AG125" s="98" t="s">
        <v>189</v>
      </c>
      <c r="AH125" s="98" t="s">
        <v>260</v>
      </c>
      <c r="AI125" s="98" t="s">
        <v>154</v>
      </c>
      <c r="AJ125" s="99" t="s">
        <v>236</v>
      </c>
      <c r="AK125" s="99" t="s">
        <v>269</v>
      </c>
      <c r="AL125" s="100" t="s">
        <v>217</v>
      </c>
      <c r="AM125" s="98" t="s">
        <v>232</v>
      </c>
      <c r="AN125" s="103" t="s">
        <v>196</v>
      </c>
      <c r="AO125" s="98" t="s">
        <v>157</v>
      </c>
    </row>
    <row r="126" spans="1:47" ht="15.75">
      <c r="B126" s="15">
        <f t="shared" si="2"/>
        <v>46279</v>
      </c>
      <c r="C126" s="23" t="s">
        <v>158</v>
      </c>
      <c r="F126" s="124"/>
      <c r="G126" s="124"/>
      <c r="H126" s="124"/>
      <c r="I126" s="124"/>
      <c r="J126" s="124"/>
      <c r="K126" s="124"/>
      <c r="L126" s="100" t="s">
        <v>167</v>
      </c>
      <c r="M126" s="124"/>
      <c r="N126" s="95" t="s">
        <v>148</v>
      </c>
      <c r="O126" s="124"/>
      <c r="P126" s="95" t="s">
        <v>137</v>
      </c>
      <c r="Q126" s="124"/>
      <c r="R126" s="71" t="s">
        <v>259</v>
      </c>
      <c r="S126" s="124"/>
      <c r="T126" s="71" t="s">
        <v>238</v>
      </c>
      <c r="U126" s="124"/>
      <c r="V126" s="100" t="s">
        <v>113</v>
      </c>
      <c r="W126" s="124"/>
      <c r="X126" s="98" t="s">
        <v>235</v>
      </c>
      <c r="Y126" s="124"/>
      <c r="Z126" s="98" t="s">
        <v>129</v>
      </c>
      <c r="AA126" s="98" t="s">
        <v>121</v>
      </c>
      <c r="AB126" s="100" t="s">
        <v>182</v>
      </c>
      <c r="AC126" s="98" t="s">
        <v>92</v>
      </c>
      <c r="AD126" s="98" t="s">
        <v>131</v>
      </c>
      <c r="AE126" s="100" t="s">
        <v>277</v>
      </c>
      <c r="AF126" s="98" t="s">
        <v>283</v>
      </c>
      <c r="AG126" s="98" t="s">
        <v>204</v>
      </c>
      <c r="AH126" s="98" t="s">
        <v>260</v>
      </c>
      <c r="AI126" s="98" t="s">
        <v>162</v>
      </c>
      <c r="AJ126" s="100" t="s">
        <v>239</v>
      </c>
      <c r="AK126" s="100" t="s">
        <v>273</v>
      </c>
      <c r="AL126" s="99" t="s">
        <v>220</v>
      </c>
      <c r="AM126" s="99" t="s">
        <v>236</v>
      </c>
      <c r="AN126" s="103" t="s">
        <v>196</v>
      </c>
      <c r="AO126" s="99" t="s">
        <v>165</v>
      </c>
    </row>
    <row r="127" spans="1:47" ht="15.75">
      <c r="B127" s="15">
        <f t="shared" si="2"/>
        <v>46286</v>
      </c>
      <c r="C127" s="23" t="s">
        <v>166</v>
      </c>
      <c r="F127" s="124"/>
      <c r="G127" s="124"/>
      <c r="H127" s="124"/>
      <c r="I127" s="124"/>
      <c r="J127" s="124"/>
      <c r="K127" s="124"/>
      <c r="L127" s="100" t="s">
        <v>167</v>
      </c>
      <c r="M127" s="124"/>
      <c r="N127" s="95" t="s">
        <v>148</v>
      </c>
      <c r="O127" s="124"/>
      <c r="P127" s="95" t="s">
        <v>159</v>
      </c>
      <c r="Q127" s="124"/>
      <c r="R127" s="95" t="s">
        <v>262</v>
      </c>
      <c r="S127" s="124"/>
      <c r="T127" s="71" t="s">
        <v>238</v>
      </c>
      <c r="U127" s="124"/>
      <c r="V127" s="100" t="s">
        <v>113</v>
      </c>
      <c r="W127" s="124"/>
      <c r="X127" s="99" t="s">
        <v>160</v>
      </c>
      <c r="Y127" s="124"/>
      <c r="Z127" s="98" t="s">
        <v>141</v>
      </c>
      <c r="AA127" s="99" t="s">
        <v>147</v>
      </c>
      <c r="AB127" s="98" t="s">
        <v>182</v>
      </c>
      <c r="AC127" s="99" t="s">
        <v>110</v>
      </c>
      <c r="AD127" s="98" t="s">
        <v>131</v>
      </c>
      <c r="AE127" s="98" t="s">
        <v>282</v>
      </c>
      <c r="AF127" s="98" t="s">
        <v>288</v>
      </c>
      <c r="AG127" s="99" t="s">
        <v>96</v>
      </c>
      <c r="AH127" s="98" t="s">
        <v>263</v>
      </c>
      <c r="AI127" s="99" t="s">
        <v>174</v>
      </c>
      <c r="AJ127" s="100" t="s">
        <v>239</v>
      </c>
      <c r="AK127" s="98" t="s">
        <v>278</v>
      </c>
      <c r="AL127" s="99" t="s">
        <v>220</v>
      </c>
      <c r="AM127" s="159" t="s">
        <v>239</v>
      </c>
      <c r="AN127" s="103" t="s">
        <v>202</v>
      </c>
      <c r="AO127" s="100" t="s">
        <v>177</v>
      </c>
    </row>
    <row r="128" spans="1:47" ht="15.75">
      <c r="A128" t="s">
        <v>329</v>
      </c>
      <c r="B128" s="15">
        <f t="shared" si="2"/>
        <v>46293</v>
      </c>
      <c r="C128" s="23" t="s">
        <v>178</v>
      </c>
      <c r="F128" s="124"/>
      <c r="G128" s="124"/>
      <c r="H128" s="124"/>
      <c r="I128" s="124"/>
      <c r="J128" s="124"/>
      <c r="K128" s="124"/>
      <c r="L128" s="99" t="s">
        <v>187</v>
      </c>
      <c r="M128" s="124"/>
      <c r="N128" s="95" t="s">
        <v>168</v>
      </c>
      <c r="O128" s="124"/>
      <c r="P128" s="95" t="s">
        <v>159</v>
      </c>
      <c r="Q128" s="124"/>
      <c r="R128" s="95" t="s">
        <v>262</v>
      </c>
      <c r="S128" s="124"/>
      <c r="T128" s="95" t="s">
        <v>246</v>
      </c>
      <c r="U128" s="124"/>
      <c r="V128" s="98" t="s">
        <v>127</v>
      </c>
      <c r="W128" s="124"/>
      <c r="X128" s="99" t="s">
        <v>160</v>
      </c>
      <c r="Y128" s="124"/>
      <c r="Z128" s="98" t="s">
        <v>141</v>
      </c>
      <c r="AA128" s="100" t="s">
        <v>167</v>
      </c>
      <c r="AB128" s="98" t="s">
        <v>193</v>
      </c>
      <c r="AC128" s="100" t="s">
        <v>306</v>
      </c>
      <c r="AD128" s="98" t="s">
        <v>142</v>
      </c>
      <c r="AE128" s="98" t="s">
        <v>287</v>
      </c>
      <c r="AF128" s="98" t="s">
        <v>288</v>
      </c>
      <c r="AG128" s="100" t="s">
        <v>231</v>
      </c>
      <c r="AH128" s="98" t="s">
        <v>263</v>
      </c>
      <c r="AI128" s="100" t="s">
        <v>182</v>
      </c>
      <c r="AJ128" s="103" t="s">
        <v>248</v>
      </c>
      <c r="AK128" s="98" t="s">
        <v>283</v>
      </c>
      <c r="AL128" s="100" t="s">
        <v>224</v>
      </c>
      <c r="AM128" s="98" t="s">
        <v>248</v>
      </c>
      <c r="AN128" s="103" t="s">
        <v>202</v>
      </c>
      <c r="AO128" s="98" t="s">
        <v>185</v>
      </c>
    </row>
    <row r="129" spans="1:47" ht="15.75">
      <c r="B129" s="15">
        <f t="shared" si="2"/>
        <v>46300</v>
      </c>
      <c r="C129" s="23" t="s">
        <v>186</v>
      </c>
      <c r="F129" s="124"/>
      <c r="G129" s="124"/>
      <c r="H129" s="124"/>
      <c r="I129" s="124"/>
      <c r="J129" s="124"/>
      <c r="K129" s="124"/>
      <c r="L129" s="99" t="s">
        <v>187</v>
      </c>
      <c r="M129" s="124"/>
      <c r="N129" s="95" t="s">
        <v>168</v>
      </c>
      <c r="O129" s="124"/>
      <c r="P129" s="72" t="s">
        <v>179</v>
      </c>
      <c r="Q129" s="124"/>
      <c r="R129" s="95" t="s">
        <v>265</v>
      </c>
      <c r="S129" s="124"/>
      <c r="T129" s="95" t="s">
        <v>246</v>
      </c>
      <c r="U129" s="124"/>
      <c r="V129" s="98" t="s">
        <v>127</v>
      </c>
      <c r="W129" s="124"/>
      <c r="X129" s="100" t="s">
        <v>247</v>
      </c>
      <c r="Y129" s="124"/>
      <c r="Z129" s="98" t="s">
        <v>153</v>
      </c>
      <c r="AA129" s="99" t="s">
        <v>187</v>
      </c>
      <c r="AB129" s="99" t="s">
        <v>193</v>
      </c>
      <c r="AC129" s="98" t="s">
        <v>308</v>
      </c>
      <c r="AD129" s="98" t="s">
        <v>142</v>
      </c>
      <c r="AE129" s="99" t="s">
        <v>93</v>
      </c>
      <c r="AF129" s="98" t="s">
        <v>291</v>
      </c>
      <c r="AG129" s="98" t="s">
        <v>235</v>
      </c>
      <c r="AH129" s="98" t="s">
        <v>266</v>
      </c>
      <c r="AI129" s="99" t="s">
        <v>193</v>
      </c>
      <c r="AJ129" s="103" t="s">
        <v>248</v>
      </c>
      <c r="AK129" s="98" t="s">
        <v>288</v>
      </c>
      <c r="AL129" s="100" t="s">
        <v>224</v>
      </c>
      <c r="AM129" s="98" t="s">
        <v>252</v>
      </c>
      <c r="AN129" s="103" t="s">
        <v>209</v>
      </c>
      <c r="AO129" s="98" t="s">
        <v>196</v>
      </c>
    </row>
    <row r="130" spans="1:47" ht="15.75">
      <c r="A130" s="26" t="s">
        <v>197</v>
      </c>
      <c r="B130" s="15">
        <f t="shared" si="2"/>
        <v>46307</v>
      </c>
      <c r="C130" s="23" t="s">
        <v>198</v>
      </c>
      <c r="F130" s="124"/>
      <c r="G130" s="124"/>
      <c r="H130" s="124"/>
      <c r="I130" s="124"/>
      <c r="J130" s="124"/>
      <c r="K130" s="124"/>
      <c r="L130" s="124"/>
      <c r="M130" s="124"/>
      <c r="N130" s="95" t="s">
        <v>90</v>
      </c>
      <c r="O130" s="124"/>
      <c r="P130" s="72" t="s">
        <v>179</v>
      </c>
      <c r="Q130" s="124"/>
      <c r="R130" s="95" t="s">
        <v>265</v>
      </c>
      <c r="S130" s="124"/>
      <c r="T130" s="95" t="s">
        <v>250</v>
      </c>
      <c r="U130" s="124"/>
      <c r="V130" s="98" t="s">
        <v>140</v>
      </c>
      <c r="W130" s="124"/>
      <c r="X130" s="100" t="s">
        <v>247</v>
      </c>
      <c r="Y130" s="124"/>
      <c r="Z130" s="98" t="s">
        <v>153</v>
      </c>
      <c r="AA130" s="124"/>
      <c r="AB130" s="99" t="s">
        <v>193</v>
      </c>
      <c r="AC130" s="98" t="s">
        <v>310</v>
      </c>
      <c r="AD130" s="98" t="s">
        <v>154</v>
      </c>
      <c r="AE130" s="100" t="s">
        <v>294</v>
      </c>
      <c r="AF130" s="98" t="s">
        <v>291</v>
      </c>
      <c r="AG130" s="99" t="s">
        <v>160</v>
      </c>
      <c r="AH130" s="98" t="s">
        <v>266</v>
      </c>
      <c r="AI130" s="100" t="s">
        <v>245</v>
      </c>
      <c r="AJ130" s="103" t="s">
        <v>252</v>
      </c>
      <c r="AK130" s="98" t="s">
        <v>291</v>
      </c>
      <c r="AL130" s="167" t="s">
        <v>227</v>
      </c>
      <c r="AM130" s="98" t="s">
        <v>257</v>
      </c>
      <c r="AN130" s="169" t="s">
        <v>209</v>
      </c>
      <c r="AO130" s="98" t="s">
        <v>202</v>
      </c>
      <c r="AQ130" s="100" t="s">
        <v>97</v>
      </c>
    </row>
    <row r="131" spans="1:47" ht="15.75">
      <c r="B131" s="15">
        <f t="shared" si="2"/>
        <v>46314</v>
      </c>
      <c r="C131" s="23" t="s">
        <v>203</v>
      </c>
      <c r="F131" s="124"/>
      <c r="G131" s="124"/>
      <c r="H131" s="124"/>
      <c r="I131" s="124"/>
      <c r="J131" s="124"/>
      <c r="K131" s="124"/>
      <c r="L131" s="124"/>
      <c r="M131" s="124"/>
      <c r="N131" s="95" t="s">
        <v>90</v>
      </c>
      <c r="O131" s="124"/>
      <c r="P131" s="71" t="s">
        <v>91</v>
      </c>
      <c r="Q131" s="124"/>
      <c r="R131" s="95" t="s">
        <v>268</v>
      </c>
      <c r="S131" s="124"/>
      <c r="T131" s="95" t="s">
        <v>250</v>
      </c>
      <c r="U131" s="124"/>
      <c r="V131" s="98" t="s">
        <v>140</v>
      </c>
      <c r="W131" s="124"/>
      <c r="X131" s="98" t="s">
        <v>251</v>
      </c>
      <c r="Y131" s="124"/>
      <c r="Z131" s="98" t="s">
        <v>161</v>
      </c>
      <c r="AA131" s="124"/>
      <c r="AB131" s="100" t="s">
        <v>97</v>
      </c>
      <c r="AC131" s="99" t="s">
        <v>293</v>
      </c>
      <c r="AD131" s="98" t="s">
        <v>154</v>
      </c>
      <c r="AE131" s="98" t="s">
        <v>296</v>
      </c>
      <c r="AF131" s="99" t="s">
        <v>103</v>
      </c>
      <c r="AG131" s="100" t="s">
        <v>247</v>
      </c>
      <c r="AH131" s="99" t="s">
        <v>269</v>
      </c>
      <c r="AI131" s="100" t="s">
        <v>207</v>
      </c>
      <c r="AJ131" s="103" t="s">
        <v>252</v>
      </c>
      <c r="AK131" s="99" t="s">
        <v>103</v>
      </c>
      <c r="AL131" s="103" t="s">
        <v>227</v>
      </c>
      <c r="AM131" s="98" t="s">
        <v>260</v>
      </c>
      <c r="AN131" s="106" t="s">
        <v>213</v>
      </c>
      <c r="AO131" s="98" t="s">
        <v>209</v>
      </c>
      <c r="AQ131" s="100" t="s">
        <v>119</v>
      </c>
    </row>
    <row r="132" spans="1:47" ht="15.75">
      <c r="B132" s="15">
        <f t="shared" si="2"/>
        <v>46321</v>
      </c>
      <c r="C132" s="23" t="s">
        <v>210</v>
      </c>
      <c r="F132" s="124"/>
      <c r="G132" s="124"/>
      <c r="H132" s="124"/>
      <c r="I132" s="124"/>
      <c r="J132" s="124"/>
      <c r="K132" s="124"/>
      <c r="L132" s="124"/>
      <c r="M132" s="124"/>
      <c r="N132" s="95" t="s">
        <v>121</v>
      </c>
      <c r="O132" s="124"/>
      <c r="P132" s="71" t="s">
        <v>91</v>
      </c>
      <c r="Q132" s="124"/>
      <c r="R132" s="95" t="s">
        <v>268</v>
      </c>
      <c r="S132" s="124"/>
      <c r="T132" s="72" t="s">
        <v>254</v>
      </c>
      <c r="U132" s="124"/>
      <c r="V132" s="98" t="s">
        <v>94</v>
      </c>
      <c r="W132" s="124"/>
      <c r="X132" s="98" t="s">
        <v>251</v>
      </c>
      <c r="Y132" s="124"/>
      <c r="Z132" s="98" t="s">
        <v>161</v>
      </c>
      <c r="AA132" s="124"/>
      <c r="AB132" s="100" t="s">
        <v>114</v>
      </c>
      <c r="AC132" s="100" t="s">
        <v>122</v>
      </c>
      <c r="AD132" s="98" t="s">
        <v>162</v>
      </c>
      <c r="AE132" s="98" t="s">
        <v>300</v>
      </c>
      <c r="AF132" s="99" t="s">
        <v>103</v>
      </c>
      <c r="AG132" s="98" t="s">
        <v>251</v>
      </c>
      <c r="AH132" s="99" t="s">
        <v>269</v>
      </c>
      <c r="AI132" s="98" t="s">
        <v>212</v>
      </c>
      <c r="AJ132" s="103" t="s">
        <v>257</v>
      </c>
      <c r="AK132" s="100" t="s">
        <v>115</v>
      </c>
      <c r="AL132" s="103" t="s">
        <v>232</v>
      </c>
      <c r="AM132" s="98" t="s">
        <v>263</v>
      </c>
      <c r="AN132" s="99" t="s">
        <v>213</v>
      </c>
      <c r="AO132" s="99" t="s">
        <v>213</v>
      </c>
      <c r="AQ132" s="98" t="s">
        <v>135</v>
      </c>
    </row>
    <row r="133" spans="1:47" ht="15.75">
      <c r="B133" s="15">
        <f t="shared" si="2"/>
        <v>46328</v>
      </c>
      <c r="C133" s="23" t="s">
        <v>214</v>
      </c>
      <c r="F133" s="124"/>
      <c r="G133" s="124"/>
      <c r="H133" s="124"/>
      <c r="I133" s="124"/>
      <c r="J133" s="124"/>
      <c r="K133" s="124"/>
      <c r="L133" s="124"/>
      <c r="M133" s="124"/>
      <c r="N133" s="95" t="s">
        <v>121</v>
      </c>
      <c r="O133" s="124"/>
      <c r="P133" s="95" t="s">
        <v>122</v>
      </c>
      <c r="Q133" s="124"/>
      <c r="R133" s="95" t="s">
        <v>272</v>
      </c>
      <c r="S133" s="124"/>
      <c r="T133" s="72" t="s">
        <v>254</v>
      </c>
      <c r="U133" s="124"/>
      <c r="V133" s="98" t="s">
        <v>94</v>
      </c>
      <c r="W133" s="124"/>
      <c r="X133" s="99" t="s">
        <v>255</v>
      </c>
      <c r="Y133" s="124"/>
      <c r="Z133" s="99" t="s">
        <v>173</v>
      </c>
      <c r="AA133" s="124"/>
      <c r="AB133" s="100" t="s">
        <v>114</v>
      </c>
      <c r="AC133" s="98" t="s">
        <v>148</v>
      </c>
      <c r="AD133" s="98" t="s">
        <v>162</v>
      </c>
      <c r="AE133" s="98" t="s">
        <v>139</v>
      </c>
      <c r="AF133" s="100" t="s">
        <v>115</v>
      </c>
      <c r="AG133" s="99" t="s">
        <v>255</v>
      </c>
      <c r="AH133" s="100" t="s">
        <v>273</v>
      </c>
      <c r="AI133" s="98" t="s">
        <v>170</v>
      </c>
      <c r="AJ133" s="103" t="s">
        <v>257</v>
      </c>
      <c r="AK133" s="98" t="s">
        <v>131</v>
      </c>
      <c r="AL133" s="103" t="s">
        <v>232</v>
      </c>
      <c r="AM133" s="98" t="s">
        <v>266</v>
      </c>
      <c r="AN133" s="100" t="s">
        <v>217</v>
      </c>
      <c r="AO133" s="100" t="s">
        <v>217</v>
      </c>
      <c r="AQ133" s="98" t="s">
        <v>145</v>
      </c>
    </row>
    <row r="134" spans="1:47" ht="15.75">
      <c r="B134" s="15">
        <f t="shared" ref="B134:B197" si="3">B133+7</f>
        <v>46335</v>
      </c>
      <c r="C134" s="23" t="s">
        <v>218</v>
      </c>
      <c r="F134" s="124"/>
      <c r="G134" s="124"/>
      <c r="H134" s="124"/>
      <c r="I134" s="124"/>
      <c r="J134" s="124"/>
      <c r="K134" s="124"/>
      <c r="L134" s="124"/>
      <c r="M134" s="124"/>
      <c r="N134" s="72" t="s">
        <v>147</v>
      </c>
      <c r="O134" s="124"/>
      <c r="P134" s="95" t="s">
        <v>122</v>
      </c>
      <c r="Q134" s="124"/>
      <c r="R134" s="95" t="s">
        <v>272</v>
      </c>
      <c r="S134" s="124"/>
      <c r="T134" s="71" t="s">
        <v>259</v>
      </c>
      <c r="U134" s="124"/>
      <c r="V134" s="99" t="s">
        <v>123</v>
      </c>
      <c r="W134" s="124"/>
      <c r="X134" s="99" t="s">
        <v>255</v>
      </c>
      <c r="Y134" s="124"/>
      <c r="Z134" s="99" t="s">
        <v>173</v>
      </c>
      <c r="AA134" s="124"/>
      <c r="AB134" s="98" t="s">
        <v>129</v>
      </c>
      <c r="AC134" s="98" t="s">
        <v>168</v>
      </c>
      <c r="AD134" s="99" t="s">
        <v>174</v>
      </c>
      <c r="AE134" s="98" t="s">
        <v>92</v>
      </c>
      <c r="AF134" s="100" t="s">
        <v>115</v>
      </c>
      <c r="AG134" s="100" t="s">
        <v>113</v>
      </c>
      <c r="AH134" s="100" t="s">
        <v>273</v>
      </c>
      <c r="AI134" s="98" t="s">
        <v>189</v>
      </c>
      <c r="AJ134" s="103" t="s">
        <v>260</v>
      </c>
      <c r="AK134" s="98" t="s">
        <v>142</v>
      </c>
      <c r="AL134" s="99" t="s">
        <v>236</v>
      </c>
      <c r="AM134" s="99" t="s">
        <v>269</v>
      </c>
      <c r="AN134" s="100" t="s">
        <v>217</v>
      </c>
      <c r="AO134" s="99" t="s">
        <v>220</v>
      </c>
      <c r="AQ134" s="98" t="s">
        <v>157</v>
      </c>
    </row>
    <row r="135" spans="1:47" ht="15.75">
      <c r="B135" s="15">
        <f t="shared" si="3"/>
        <v>46342</v>
      </c>
      <c r="C135" s="23" t="s">
        <v>221</v>
      </c>
      <c r="F135" s="124"/>
      <c r="G135" s="124"/>
      <c r="H135" s="124"/>
      <c r="I135" s="124"/>
      <c r="J135" s="124"/>
      <c r="K135" s="124"/>
      <c r="L135" s="124"/>
      <c r="M135" s="124"/>
      <c r="N135" s="72" t="s">
        <v>147</v>
      </c>
      <c r="O135" s="124"/>
      <c r="P135" s="95" t="s">
        <v>148</v>
      </c>
      <c r="Q135" s="124"/>
      <c r="R135" s="72" t="s">
        <v>276</v>
      </c>
      <c r="S135" s="124"/>
      <c r="T135" s="71" t="s">
        <v>259</v>
      </c>
      <c r="U135" s="124"/>
      <c r="V135" s="99" t="s">
        <v>123</v>
      </c>
      <c r="W135" s="124"/>
      <c r="X135" s="100" t="s">
        <v>113</v>
      </c>
      <c r="Y135" s="124"/>
      <c r="Z135" s="100" t="s">
        <v>181</v>
      </c>
      <c r="AA135" s="124"/>
      <c r="AB135" s="98" t="s">
        <v>129</v>
      </c>
      <c r="AC135" s="98" t="s">
        <v>90</v>
      </c>
      <c r="AD135" s="99" t="s">
        <v>174</v>
      </c>
      <c r="AE135" s="99" t="s">
        <v>110</v>
      </c>
      <c r="AF135" s="98" t="s">
        <v>131</v>
      </c>
      <c r="AG135" s="98" t="s">
        <v>127</v>
      </c>
      <c r="AH135" s="98" t="s">
        <v>278</v>
      </c>
      <c r="AI135" s="98" t="s">
        <v>204</v>
      </c>
      <c r="AJ135" s="103" t="s">
        <v>260</v>
      </c>
      <c r="AK135" s="98" t="s">
        <v>154</v>
      </c>
      <c r="AL135" s="99" t="s">
        <v>236</v>
      </c>
      <c r="AM135" s="100" t="s">
        <v>273</v>
      </c>
      <c r="AN135" s="99" t="s">
        <v>220</v>
      </c>
      <c r="AO135" s="100" t="s">
        <v>224</v>
      </c>
      <c r="AQ135" s="99" t="s">
        <v>165</v>
      </c>
    </row>
    <row r="136" spans="1:47" ht="15.75">
      <c r="B136" s="15">
        <f t="shared" si="3"/>
        <v>46349</v>
      </c>
      <c r="C136" s="23" t="s">
        <v>225</v>
      </c>
      <c r="F136" s="124"/>
      <c r="G136" s="124"/>
      <c r="H136" s="124"/>
      <c r="I136" s="124"/>
      <c r="J136" s="124"/>
      <c r="K136" s="124"/>
      <c r="L136" s="124"/>
      <c r="M136" s="124"/>
      <c r="N136" s="71" t="s">
        <v>167</v>
      </c>
      <c r="O136" s="124"/>
      <c r="P136" s="95" t="s">
        <v>148</v>
      </c>
      <c r="Q136" s="124"/>
      <c r="R136" s="72" t="s">
        <v>276</v>
      </c>
      <c r="S136" s="124"/>
      <c r="T136" s="95" t="s">
        <v>262</v>
      </c>
      <c r="U136" s="124"/>
      <c r="V136" s="100" t="s">
        <v>277</v>
      </c>
      <c r="W136" s="124"/>
      <c r="X136" s="100" t="s">
        <v>113</v>
      </c>
      <c r="Y136" s="124"/>
      <c r="Z136" s="100" t="s">
        <v>181</v>
      </c>
      <c r="AA136" s="124"/>
      <c r="AB136" s="98" t="s">
        <v>141</v>
      </c>
      <c r="AC136" s="98" t="s">
        <v>121</v>
      </c>
      <c r="AD136" s="100" t="s">
        <v>182</v>
      </c>
      <c r="AE136" s="100" t="s">
        <v>306</v>
      </c>
      <c r="AF136" s="98" t="s">
        <v>131</v>
      </c>
      <c r="AG136" s="98" t="s">
        <v>140</v>
      </c>
      <c r="AH136" s="98" t="s">
        <v>278</v>
      </c>
      <c r="AI136" s="99" t="s">
        <v>96</v>
      </c>
      <c r="AJ136" s="103" t="s">
        <v>263</v>
      </c>
      <c r="AK136" s="98" t="s">
        <v>162</v>
      </c>
      <c r="AL136" s="100" t="s">
        <v>239</v>
      </c>
      <c r="AM136" s="98" t="s">
        <v>278</v>
      </c>
      <c r="AN136" s="99" t="s">
        <v>220</v>
      </c>
      <c r="AO136" s="98" t="s">
        <v>227</v>
      </c>
      <c r="AQ136" s="100" t="s">
        <v>177</v>
      </c>
    </row>
    <row r="137" spans="1:47" ht="15.75">
      <c r="B137" s="15">
        <f t="shared" si="3"/>
        <v>46356</v>
      </c>
      <c r="C137" s="23" t="s">
        <v>228</v>
      </c>
      <c r="F137" s="124"/>
      <c r="G137" s="124"/>
      <c r="H137" s="124"/>
      <c r="I137" s="124"/>
      <c r="J137" s="124"/>
      <c r="K137" s="124"/>
      <c r="L137" s="124"/>
      <c r="M137" s="124"/>
      <c r="N137" s="71" t="s">
        <v>167</v>
      </c>
      <c r="O137" s="124"/>
      <c r="P137" s="95" t="s">
        <v>168</v>
      </c>
      <c r="Q137" s="124"/>
      <c r="R137" s="71" t="s">
        <v>281</v>
      </c>
      <c r="S137" s="124"/>
      <c r="T137" s="95" t="s">
        <v>262</v>
      </c>
      <c r="U137" s="124"/>
      <c r="V137" s="100" t="s">
        <v>277</v>
      </c>
      <c r="W137" s="124"/>
      <c r="X137" s="98" t="s">
        <v>127</v>
      </c>
      <c r="Y137" s="124"/>
      <c r="Z137" s="98" t="s">
        <v>192</v>
      </c>
      <c r="AA137" s="124"/>
      <c r="AB137" s="98" t="s">
        <v>141</v>
      </c>
      <c r="AC137" s="99" t="s">
        <v>147</v>
      </c>
      <c r="AD137" s="100" t="s">
        <v>182</v>
      </c>
      <c r="AE137" s="98" t="s">
        <v>308</v>
      </c>
      <c r="AF137" s="98" t="s">
        <v>142</v>
      </c>
      <c r="AG137" s="98" t="s">
        <v>94</v>
      </c>
      <c r="AH137" s="98" t="s">
        <v>283</v>
      </c>
      <c r="AI137" s="100" t="s">
        <v>231</v>
      </c>
      <c r="AJ137" s="103" t="s">
        <v>263</v>
      </c>
      <c r="AK137" s="99" t="s">
        <v>174</v>
      </c>
      <c r="AL137" s="100" t="s">
        <v>239</v>
      </c>
      <c r="AM137" s="98" t="s">
        <v>283</v>
      </c>
      <c r="AN137" s="100" t="s">
        <v>224</v>
      </c>
      <c r="AO137" s="98" t="s">
        <v>232</v>
      </c>
      <c r="AQ137" s="98" t="s">
        <v>185</v>
      </c>
    </row>
    <row r="138" spans="1:47" ht="15.75">
      <c r="B138" s="15">
        <f t="shared" si="3"/>
        <v>46363</v>
      </c>
      <c r="C138" s="23" t="s">
        <v>233</v>
      </c>
      <c r="F138" s="124"/>
      <c r="G138" s="124"/>
      <c r="H138" s="124"/>
      <c r="I138" s="124"/>
      <c r="J138" s="124"/>
      <c r="K138" s="124"/>
      <c r="L138" s="124"/>
      <c r="M138" s="124"/>
      <c r="N138" s="72" t="s">
        <v>187</v>
      </c>
      <c r="O138" s="124"/>
      <c r="P138" s="95" t="s">
        <v>168</v>
      </c>
      <c r="Q138" s="124"/>
      <c r="R138" s="71" t="s">
        <v>281</v>
      </c>
      <c r="S138" s="124"/>
      <c r="T138" s="95" t="s">
        <v>265</v>
      </c>
      <c r="U138" s="124"/>
      <c r="V138" s="98" t="s">
        <v>282</v>
      </c>
      <c r="W138" s="124"/>
      <c r="X138" s="98" t="s">
        <v>127</v>
      </c>
      <c r="Y138" s="124"/>
      <c r="Z138" s="98" t="s">
        <v>192</v>
      </c>
      <c r="AA138" s="124"/>
      <c r="AB138" s="98" t="s">
        <v>153</v>
      </c>
      <c r="AC138" s="100" t="s">
        <v>167</v>
      </c>
      <c r="AD138" s="99" t="s">
        <v>193</v>
      </c>
      <c r="AE138" s="98" t="s">
        <v>310</v>
      </c>
      <c r="AF138" s="98" t="s">
        <v>142</v>
      </c>
      <c r="AG138" s="99" t="s">
        <v>123</v>
      </c>
      <c r="AH138" s="98" t="s">
        <v>283</v>
      </c>
      <c r="AI138" s="98" t="s">
        <v>235</v>
      </c>
      <c r="AJ138" s="103" t="s">
        <v>266</v>
      </c>
      <c r="AK138" s="203" t="s">
        <v>182</v>
      </c>
      <c r="AL138" s="103" t="s">
        <v>248</v>
      </c>
      <c r="AM138" s="98" t="s">
        <v>288</v>
      </c>
      <c r="AN138" s="100" t="s">
        <v>224</v>
      </c>
      <c r="AO138" s="99" t="s">
        <v>236</v>
      </c>
      <c r="AQ138" s="98" t="s">
        <v>196</v>
      </c>
    </row>
    <row r="139" spans="1:47" ht="15.75">
      <c r="B139" s="15">
        <f t="shared" si="3"/>
        <v>46370</v>
      </c>
      <c r="C139" s="23" t="s">
        <v>237</v>
      </c>
      <c r="F139" s="124"/>
      <c r="G139" s="124"/>
      <c r="H139" s="124"/>
      <c r="I139" s="124"/>
      <c r="J139" s="124"/>
      <c r="K139" s="124"/>
      <c r="L139" s="124"/>
      <c r="M139" s="124"/>
      <c r="N139" s="72" t="s">
        <v>187</v>
      </c>
      <c r="O139" s="124"/>
      <c r="P139" s="95" t="s">
        <v>90</v>
      </c>
      <c r="Q139" s="124"/>
      <c r="R139" s="95" t="s">
        <v>286</v>
      </c>
      <c r="S139" s="124"/>
      <c r="T139" s="95" t="s">
        <v>265</v>
      </c>
      <c r="U139" s="124"/>
      <c r="V139" s="98" t="s">
        <v>282</v>
      </c>
      <c r="W139" s="124"/>
      <c r="X139" s="98" t="s">
        <v>140</v>
      </c>
      <c r="Y139" s="124"/>
      <c r="Z139" s="99" t="s">
        <v>200</v>
      </c>
      <c r="AA139" s="124"/>
      <c r="AB139" s="98" t="s">
        <v>153</v>
      </c>
      <c r="AC139" s="99" t="s">
        <v>187</v>
      </c>
      <c r="AD139" s="99" t="s">
        <v>193</v>
      </c>
      <c r="AE139" s="99" t="s">
        <v>293</v>
      </c>
      <c r="AF139" s="98" t="s">
        <v>154</v>
      </c>
      <c r="AG139" s="100" t="s">
        <v>277</v>
      </c>
      <c r="AH139" s="158" t="s">
        <v>288</v>
      </c>
      <c r="AI139" s="99" t="s">
        <v>160</v>
      </c>
      <c r="AJ139" s="169" t="s">
        <v>266</v>
      </c>
      <c r="AK139" s="205" t="s">
        <v>193</v>
      </c>
      <c r="AL139" s="103" t="s">
        <v>248</v>
      </c>
      <c r="AM139" s="98" t="s">
        <v>291</v>
      </c>
      <c r="AN139" s="167" t="s">
        <v>227</v>
      </c>
      <c r="AQ139" s="98" t="s">
        <v>202</v>
      </c>
    </row>
    <row r="140" spans="1:47" ht="15.75">
      <c r="A140" s="262" t="s">
        <v>323</v>
      </c>
      <c r="B140" s="24">
        <f t="shared" si="3"/>
        <v>46377</v>
      </c>
      <c r="C140" s="25" t="s">
        <v>241</v>
      </c>
      <c r="D140" s="38"/>
      <c r="E140" s="38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38"/>
      <c r="AF140" s="38"/>
      <c r="AG140" s="38"/>
      <c r="AH140" s="20"/>
      <c r="AI140" s="20"/>
      <c r="AJ140" s="19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</row>
    <row r="141" spans="1:47" ht="15.75">
      <c r="A141" s="276"/>
      <c r="B141" s="24">
        <f t="shared" si="3"/>
        <v>46384</v>
      </c>
      <c r="C141" s="25" t="s">
        <v>330</v>
      </c>
      <c r="D141" s="27"/>
      <c r="E141" s="27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27"/>
      <c r="AF141" s="27"/>
      <c r="AG141" s="27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</row>
    <row r="142" spans="1:47" ht="15.75">
      <c r="B142" s="15">
        <f t="shared" si="3"/>
        <v>46391</v>
      </c>
      <c r="C142" s="23" t="s">
        <v>242</v>
      </c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95" t="s">
        <v>90</v>
      </c>
      <c r="Q142" s="124"/>
      <c r="R142" s="95" t="s">
        <v>286</v>
      </c>
      <c r="S142" s="124"/>
      <c r="T142" s="95" t="s">
        <v>268</v>
      </c>
      <c r="U142" s="124"/>
      <c r="V142" s="98" t="s">
        <v>287</v>
      </c>
      <c r="W142" s="124"/>
      <c r="X142" s="98" t="s">
        <v>140</v>
      </c>
      <c r="Y142" s="124"/>
      <c r="Z142" s="99" t="s">
        <v>200</v>
      </c>
      <c r="AA142" s="124"/>
      <c r="AB142" s="98" t="s">
        <v>161</v>
      </c>
      <c r="AC142" s="124"/>
      <c r="AD142" s="124"/>
      <c r="AE142" s="100" t="s">
        <v>122</v>
      </c>
      <c r="AF142" s="98" t="s">
        <v>154</v>
      </c>
      <c r="AG142" s="98" t="s">
        <v>282</v>
      </c>
      <c r="AH142" s="160" t="s">
        <v>288</v>
      </c>
      <c r="AI142" s="100" t="s">
        <v>247</v>
      </c>
      <c r="AJ142" s="204" t="s">
        <v>269</v>
      </c>
      <c r="AL142" s="103" t="s">
        <v>252</v>
      </c>
      <c r="AM142" s="99" t="s">
        <v>103</v>
      </c>
      <c r="AN142" s="103" t="s">
        <v>227</v>
      </c>
      <c r="AQ142" s="98" t="s">
        <v>209</v>
      </c>
    </row>
    <row r="143" spans="1:47" ht="15.75">
      <c r="A143" s="1" t="s">
        <v>243</v>
      </c>
      <c r="B143" s="15">
        <f t="shared" si="3"/>
        <v>46398</v>
      </c>
      <c r="C143" s="23" t="s">
        <v>244</v>
      </c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95" t="s">
        <v>121</v>
      </c>
      <c r="Q143" s="124"/>
      <c r="R143" s="95" t="s">
        <v>290</v>
      </c>
      <c r="S143" s="124"/>
      <c r="T143" s="95" t="s">
        <v>268</v>
      </c>
      <c r="U143" s="124"/>
      <c r="V143" s="98" t="s">
        <v>287</v>
      </c>
      <c r="W143" s="124"/>
      <c r="X143" s="98" t="s">
        <v>94</v>
      </c>
      <c r="Y143" s="124"/>
      <c r="Z143" s="100" t="s">
        <v>206</v>
      </c>
      <c r="AA143" s="124"/>
      <c r="AB143" s="98" t="s">
        <v>161</v>
      </c>
      <c r="AC143" s="124"/>
      <c r="AD143" s="100" t="s">
        <v>97</v>
      </c>
      <c r="AE143" s="98" t="s">
        <v>148</v>
      </c>
      <c r="AF143" s="98" t="s">
        <v>162</v>
      </c>
      <c r="AG143" s="98" t="s">
        <v>287</v>
      </c>
      <c r="AH143" s="98" t="s">
        <v>291</v>
      </c>
      <c r="AI143" s="98" t="s">
        <v>251</v>
      </c>
      <c r="AJ143" s="99" t="s">
        <v>269</v>
      </c>
      <c r="AK143" s="100" t="s">
        <v>245</v>
      </c>
      <c r="AL143" s="103" t="s">
        <v>252</v>
      </c>
      <c r="AM143" s="100" t="s">
        <v>115</v>
      </c>
      <c r="AN143" s="103" t="s">
        <v>232</v>
      </c>
      <c r="AQ143" s="99" t="s">
        <v>213</v>
      </c>
    </row>
    <row r="144" spans="1:47" ht="15.75">
      <c r="B144" s="15">
        <f t="shared" si="3"/>
        <v>46405</v>
      </c>
      <c r="C144" s="23" t="s">
        <v>249</v>
      </c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95" t="s">
        <v>121</v>
      </c>
      <c r="Q144" s="124"/>
      <c r="R144" s="95" t="s">
        <v>290</v>
      </c>
      <c r="S144" s="124"/>
      <c r="T144" s="95" t="s">
        <v>272</v>
      </c>
      <c r="U144" s="124"/>
      <c r="V144" s="99" t="s">
        <v>93</v>
      </c>
      <c r="W144" s="124"/>
      <c r="X144" s="98" t="s">
        <v>94</v>
      </c>
      <c r="Y144" s="124"/>
      <c r="Z144" s="100" t="s">
        <v>206</v>
      </c>
      <c r="AA144" s="124"/>
      <c r="AB144" s="99" t="s">
        <v>173</v>
      </c>
      <c r="AC144" s="124"/>
      <c r="AD144" s="100" t="s">
        <v>97</v>
      </c>
      <c r="AE144" s="98" t="s">
        <v>168</v>
      </c>
      <c r="AF144" s="98" t="s">
        <v>162</v>
      </c>
      <c r="AG144" s="99" t="s">
        <v>93</v>
      </c>
      <c r="AH144" s="98" t="s">
        <v>291</v>
      </c>
      <c r="AI144" s="99" t="s">
        <v>255</v>
      </c>
      <c r="AJ144" s="100" t="s">
        <v>273</v>
      </c>
      <c r="AK144" s="100" t="s">
        <v>207</v>
      </c>
      <c r="AL144" s="103" t="s">
        <v>257</v>
      </c>
      <c r="AM144" s="98" t="s">
        <v>131</v>
      </c>
      <c r="AN144" s="103" t="s">
        <v>232</v>
      </c>
    </row>
    <row r="145" spans="1:40" ht="15.75">
      <c r="B145" s="15">
        <f t="shared" si="3"/>
        <v>46412</v>
      </c>
      <c r="C145" s="23" t="s">
        <v>253</v>
      </c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72" t="s">
        <v>147</v>
      </c>
      <c r="Q145" s="124"/>
      <c r="R145" s="72" t="s">
        <v>331</v>
      </c>
      <c r="S145" s="124"/>
      <c r="T145" s="95" t="s">
        <v>272</v>
      </c>
      <c r="U145" s="124"/>
      <c r="V145" s="99" t="s">
        <v>93</v>
      </c>
      <c r="W145" s="124"/>
      <c r="X145" s="99" t="s">
        <v>123</v>
      </c>
      <c r="Y145" s="124"/>
      <c r="Z145" s="98" t="s">
        <v>211</v>
      </c>
      <c r="AA145" s="124"/>
      <c r="AB145" s="99" t="s">
        <v>173</v>
      </c>
      <c r="AC145" s="124"/>
      <c r="AD145" s="100" t="s">
        <v>114</v>
      </c>
      <c r="AE145" s="98" t="s">
        <v>90</v>
      </c>
      <c r="AF145" s="99" t="s">
        <v>174</v>
      </c>
      <c r="AG145" s="100" t="s">
        <v>294</v>
      </c>
      <c r="AH145" s="99" t="s">
        <v>103</v>
      </c>
      <c r="AI145" s="100" t="s">
        <v>113</v>
      </c>
      <c r="AJ145" s="100" t="s">
        <v>273</v>
      </c>
      <c r="AK145" s="98" t="s">
        <v>212</v>
      </c>
      <c r="AL145" s="103" t="s">
        <v>257</v>
      </c>
      <c r="AM145" s="98" t="s">
        <v>142</v>
      </c>
      <c r="AN145" s="99" t="s">
        <v>236</v>
      </c>
    </row>
    <row r="146" spans="1:40" ht="15.75">
      <c r="B146" s="15">
        <f t="shared" si="3"/>
        <v>46419</v>
      </c>
      <c r="C146" s="23" t="s">
        <v>258</v>
      </c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72" t="s">
        <v>147</v>
      </c>
      <c r="Q146" s="124"/>
      <c r="R146" s="72" t="s">
        <v>331</v>
      </c>
      <c r="S146" s="124"/>
      <c r="T146" s="72" t="s">
        <v>276</v>
      </c>
      <c r="U146" s="124"/>
      <c r="V146" s="100" t="s">
        <v>294</v>
      </c>
      <c r="W146" s="124"/>
      <c r="X146" s="99" t="s">
        <v>123</v>
      </c>
      <c r="Y146" s="124"/>
      <c r="Z146" s="98" t="s">
        <v>211</v>
      </c>
      <c r="AA146" s="124"/>
      <c r="AB146" s="100" t="s">
        <v>181</v>
      </c>
      <c r="AC146" s="124"/>
      <c r="AD146" s="100" t="s">
        <v>114</v>
      </c>
      <c r="AE146" s="98" t="s">
        <v>121</v>
      </c>
      <c r="AF146" s="99" t="s">
        <v>174</v>
      </c>
      <c r="AG146" s="98" t="s">
        <v>296</v>
      </c>
      <c r="AH146" s="99" t="s">
        <v>103</v>
      </c>
      <c r="AI146" s="98" t="s">
        <v>127</v>
      </c>
      <c r="AJ146" s="103" t="s">
        <v>278</v>
      </c>
      <c r="AK146" s="98" t="s">
        <v>170</v>
      </c>
      <c r="AL146" s="103" t="s">
        <v>260</v>
      </c>
      <c r="AM146" s="98" t="s">
        <v>154</v>
      </c>
      <c r="AN146" s="99" t="s">
        <v>236</v>
      </c>
    </row>
    <row r="147" spans="1:40" ht="15.75">
      <c r="B147" s="15">
        <f t="shared" si="3"/>
        <v>46426</v>
      </c>
      <c r="C147" s="23" t="s">
        <v>261</v>
      </c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71" t="s">
        <v>167</v>
      </c>
      <c r="Q147" s="124"/>
      <c r="R147" s="71" t="s">
        <v>332</v>
      </c>
      <c r="S147" s="124"/>
      <c r="T147" s="72" t="s">
        <v>276</v>
      </c>
      <c r="U147" s="124"/>
      <c r="V147" s="100" t="s">
        <v>294</v>
      </c>
      <c r="W147" s="124"/>
      <c r="X147" s="100" t="s">
        <v>277</v>
      </c>
      <c r="Y147" s="124"/>
      <c r="Z147" s="99" t="s">
        <v>216</v>
      </c>
      <c r="AA147" s="124"/>
      <c r="AB147" s="100" t="s">
        <v>181</v>
      </c>
      <c r="AC147" s="124"/>
      <c r="AD147" s="98" t="s">
        <v>129</v>
      </c>
      <c r="AE147" s="99" t="s">
        <v>147</v>
      </c>
      <c r="AF147" s="100" t="s">
        <v>182</v>
      </c>
      <c r="AG147" s="98" t="s">
        <v>300</v>
      </c>
      <c r="AH147" s="100" t="s">
        <v>115</v>
      </c>
      <c r="AI147" s="98" t="s">
        <v>140</v>
      </c>
      <c r="AJ147" s="103" t="s">
        <v>278</v>
      </c>
      <c r="AK147" s="98" t="s">
        <v>189</v>
      </c>
      <c r="AL147" s="103" t="s">
        <v>260</v>
      </c>
      <c r="AM147" s="98" t="s">
        <v>162</v>
      </c>
      <c r="AN147" s="100" t="s">
        <v>239</v>
      </c>
    </row>
    <row r="148" spans="1:40" ht="15.75">
      <c r="B148" s="15">
        <f t="shared" si="3"/>
        <v>46433</v>
      </c>
      <c r="C148" s="23" t="s">
        <v>264</v>
      </c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71" t="s">
        <v>167</v>
      </c>
      <c r="Q148" s="124"/>
      <c r="R148" s="71" t="s">
        <v>332</v>
      </c>
      <c r="S148" s="124"/>
      <c r="T148" s="71" t="s">
        <v>281</v>
      </c>
      <c r="U148" s="124"/>
      <c r="V148" s="98" t="s">
        <v>296</v>
      </c>
      <c r="W148" s="124"/>
      <c r="X148" s="100" t="s">
        <v>277</v>
      </c>
      <c r="Y148" s="124"/>
      <c r="Z148" s="99" t="s">
        <v>216</v>
      </c>
      <c r="AA148" s="124"/>
      <c r="AB148" s="98" t="s">
        <v>192</v>
      </c>
      <c r="AC148" s="124"/>
      <c r="AD148" s="98" t="s">
        <v>129</v>
      </c>
      <c r="AE148" s="100" t="s">
        <v>167</v>
      </c>
      <c r="AF148" s="100" t="s">
        <v>182</v>
      </c>
      <c r="AG148" s="98" t="s">
        <v>139</v>
      </c>
      <c r="AH148" s="100" t="s">
        <v>115</v>
      </c>
      <c r="AI148" s="98" t="s">
        <v>94</v>
      </c>
      <c r="AJ148" s="103" t="s">
        <v>283</v>
      </c>
      <c r="AK148" s="98" t="s">
        <v>204</v>
      </c>
      <c r="AL148" s="103" t="s">
        <v>263</v>
      </c>
      <c r="AM148" s="99" t="s">
        <v>174</v>
      </c>
      <c r="AN148" s="100" t="s">
        <v>239</v>
      </c>
    </row>
    <row r="149" spans="1:40" ht="15.75">
      <c r="B149" s="15">
        <f t="shared" si="3"/>
        <v>46440</v>
      </c>
      <c r="C149" s="23" t="s">
        <v>267</v>
      </c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72" t="s">
        <v>187</v>
      </c>
      <c r="Q149" s="124"/>
      <c r="R149" s="95" t="s">
        <v>333</v>
      </c>
      <c r="S149" s="124"/>
      <c r="T149" s="71" t="s">
        <v>281</v>
      </c>
      <c r="U149" s="124"/>
      <c r="V149" s="98" t="s">
        <v>296</v>
      </c>
      <c r="W149" s="124"/>
      <c r="X149" s="98" t="s">
        <v>282</v>
      </c>
      <c r="Y149" s="124"/>
      <c r="Z149" s="100" t="s">
        <v>219</v>
      </c>
      <c r="AA149" s="124"/>
      <c r="AB149" s="98" t="s">
        <v>192</v>
      </c>
      <c r="AC149" s="124"/>
      <c r="AD149" s="98" t="s">
        <v>141</v>
      </c>
      <c r="AE149" s="99" t="s">
        <v>187</v>
      </c>
      <c r="AF149" s="99" t="s">
        <v>193</v>
      </c>
      <c r="AG149" s="98" t="s">
        <v>92</v>
      </c>
      <c r="AH149" s="98" t="s">
        <v>131</v>
      </c>
      <c r="AI149" s="99" t="s">
        <v>123</v>
      </c>
      <c r="AJ149" s="103" t="s">
        <v>283</v>
      </c>
      <c r="AK149" s="99" t="s">
        <v>96</v>
      </c>
      <c r="AL149" s="103" t="s">
        <v>263</v>
      </c>
      <c r="AM149" s="203" t="s">
        <v>182</v>
      </c>
      <c r="AN149" s="103" t="s">
        <v>248</v>
      </c>
    </row>
    <row r="150" spans="1:40" ht="15.75">
      <c r="B150" s="15">
        <f t="shared" si="3"/>
        <v>46447</v>
      </c>
      <c r="C150" s="23" t="s">
        <v>270</v>
      </c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72" t="s">
        <v>187</v>
      </c>
      <c r="Q150" s="124"/>
      <c r="R150" s="95" t="s">
        <v>333</v>
      </c>
      <c r="S150" s="124"/>
      <c r="T150" s="95" t="s">
        <v>286</v>
      </c>
      <c r="U150" s="124"/>
      <c r="V150" s="98" t="s">
        <v>300</v>
      </c>
      <c r="W150" s="124"/>
      <c r="X150" s="98" t="s">
        <v>282</v>
      </c>
      <c r="Y150" s="124"/>
      <c r="Z150" s="100" t="s">
        <v>219</v>
      </c>
      <c r="AA150" s="124"/>
      <c r="AB150" s="99" t="s">
        <v>200</v>
      </c>
      <c r="AC150" s="124"/>
      <c r="AD150" s="98" t="s">
        <v>141</v>
      </c>
      <c r="AF150" s="99" t="s">
        <v>193</v>
      </c>
      <c r="AG150" s="99" t="s">
        <v>110</v>
      </c>
      <c r="AH150" s="98" t="s">
        <v>131</v>
      </c>
      <c r="AI150" s="100" t="s">
        <v>277</v>
      </c>
      <c r="AJ150" s="167" t="s">
        <v>288</v>
      </c>
      <c r="AK150" s="100" t="s">
        <v>231</v>
      </c>
      <c r="AL150" s="103" t="s">
        <v>266</v>
      </c>
      <c r="AM150" s="205" t="s">
        <v>193</v>
      </c>
      <c r="AN150" s="103" t="s">
        <v>248</v>
      </c>
    </row>
    <row r="151" spans="1:40" ht="15.75">
      <c r="B151" s="15">
        <f t="shared" si="3"/>
        <v>46454</v>
      </c>
      <c r="C151" s="23" t="s">
        <v>274</v>
      </c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Q151" s="124"/>
      <c r="R151" s="95" t="s">
        <v>334</v>
      </c>
      <c r="S151" s="124"/>
      <c r="T151" s="95" t="s">
        <v>286</v>
      </c>
      <c r="U151" s="124"/>
      <c r="V151" s="98" t="s">
        <v>300</v>
      </c>
      <c r="W151" s="124"/>
      <c r="X151" s="98" t="s">
        <v>287</v>
      </c>
      <c r="Y151" s="124"/>
      <c r="Z151" s="98" t="s">
        <v>223</v>
      </c>
      <c r="AA151" s="124"/>
      <c r="AB151" s="99" t="s">
        <v>200</v>
      </c>
      <c r="AC151" s="124"/>
      <c r="AD151" s="98" t="s">
        <v>153</v>
      </c>
      <c r="AF151" s="100" t="s">
        <v>97</v>
      </c>
      <c r="AG151" s="100" t="s">
        <v>306</v>
      </c>
      <c r="AH151" s="98" t="s">
        <v>142</v>
      </c>
      <c r="AI151" s="98" t="s">
        <v>282</v>
      </c>
      <c r="AJ151" s="168" t="s">
        <v>288</v>
      </c>
      <c r="AK151" s="98" t="s">
        <v>235</v>
      </c>
      <c r="AL151" s="169" t="s">
        <v>266</v>
      </c>
      <c r="AN151" s="103" t="s">
        <v>252</v>
      </c>
    </row>
    <row r="152" spans="1:40" ht="15.75">
      <c r="A152" s="26" t="s">
        <v>279</v>
      </c>
      <c r="B152" s="15">
        <f t="shared" si="3"/>
        <v>46461</v>
      </c>
      <c r="C152" s="23" t="s">
        <v>280</v>
      </c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Q152" s="124"/>
      <c r="R152" s="95" t="s">
        <v>334</v>
      </c>
      <c r="S152" s="124"/>
      <c r="T152" s="95" t="s">
        <v>290</v>
      </c>
      <c r="U152" s="124"/>
      <c r="V152" s="98" t="s">
        <v>139</v>
      </c>
      <c r="W152" s="124"/>
      <c r="X152" s="98" t="s">
        <v>287</v>
      </c>
      <c r="Y152" s="124"/>
      <c r="Z152" s="98" t="s">
        <v>223</v>
      </c>
      <c r="AA152" s="124"/>
      <c r="AB152" s="100" t="s">
        <v>206</v>
      </c>
      <c r="AC152" s="124"/>
      <c r="AD152" s="98" t="s">
        <v>153</v>
      </c>
      <c r="AF152" s="100" t="s">
        <v>97</v>
      </c>
      <c r="AG152" s="98" t="s">
        <v>308</v>
      </c>
      <c r="AH152" s="98" t="s">
        <v>142</v>
      </c>
      <c r="AI152" s="98" t="s">
        <v>287</v>
      </c>
      <c r="AJ152" s="103" t="s">
        <v>291</v>
      </c>
      <c r="AK152" s="99" t="s">
        <v>160</v>
      </c>
      <c r="AL152" s="204" t="s">
        <v>269</v>
      </c>
      <c r="AM152" s="100" t="s">
        <v>245</v>
      </c>
      <c r="AN152" s="103" t="s">
        <v>252</v>
      </c>
    </row>
    <row r="153" spans="1:40" ht="15.75">
      <c r="A153" s="39" t="s">
        <v>335</v>
      </c>
      <c r="B153" s="24">
        <f t="shared" si="3"/>
        <v>46468</v>
      </c>
      <c r="C153" s="25" t="s">
        <v>284</v>
      </c>
      <c r="D153" s="39"/>
      <c r="E153" s="39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39"/>
      <c r="AF153" s="39"/>
      <c r="AG153" s="39"/>
      <c r="AH153" s="39"/>
      <c r="AI153" s="39"/>
      <c r="AJ153" s="178"/>
      <c r="AK153" s="172"/>
      <c r="AL153" s="172"/>
      <c r="AM153" s="172"/>
      <c r="AN153" s="172"/>
    </row>
    <row r="154" spans="1:40" ht="15.75">
      <c r="B154" s="15">
        <f t="shared" si="3"/>
        <v>46475</v>
      </c>
      <c r="C154" s="23" t="s">
        <v>289</v>
      </c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95" t="s">
        <v>336</v>
      </c>
      <c r="S154" s="124"/>
      <c r="T154" s="95" t="s">
        <v>290</v>
      </c>
      <c r="U154" s="124"/>
      <c r="V154" s="98" t="s">
        <v>139</v>
      </c>
      <c r="W154" s="124"/>
      <c r="X154" s="99" t="s">
        <v>93</v>
      </c>
      <c r="Y154" s="124"/>
      <c r="Z154" s="98" t="s">
        <v>226</v>
      </c>
      <c r="AA154" s="124"/>
      <c r="AB154" s="100" t="s">
        <v>206</v>
      </c>
      <c r="AC154" s="124"/>
      <c r="AD154" s="98" t="s">
        <v>161</v>
      </c>
      <c r="AF154" s="100" t="s">
        <v>114</v>
      </c>
      <c r="AG154" s="98" t="s">
        <v>310</v>
      </c>
      <c r="AH154" s="98" t="s">
        <v>154</v>
      </c>
      <c r="AI154" s="99" t="s">
        <v>93</v>
      </c>
      <c r="AJ154" s="103" t="s">
        <v>291</v>
      </c>
      <c r="AK154" s="100" t="s">
        <v>247</v>
      </c>
      <c r="AL154" s="99" t="s">
        <v>269</v>
      </c>
      <c r="AM154" s="100" t="s">
        <v>207</v>
      </c>
      <c r="AN154" s="103" t="s">
        <v>257</v>
      </c>
    </row>
    <row r="155" spans="1:40" ht="15.75">
      <c r="B155" s="15">
        <f t="shared" si="3"/>
        <v>46482</v>
      </c>
      <c r="C155" s="23" t="s">
        <v>292</v>
      </c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95" t="s">
        <v>336</v>
      </c>
      <c r="S155" s="124"/>
      <c r="T155" s="72" t="s">
        <v>331</v>
      </c>
      <c r="U155" s="124"/>
      <c r="V155" s="98" t="s">
        <v>92</v>
      </c>
      <c r="W155" s="124"/>
      <c r="X155" s="99" t="s">
        <v>93</v>
      </c>
      <c r="Y155" s="124"/>
      <c r="Z155" s="98" t="s">
        <v>226</v>
      </c>
      <c r="AA155" s="124"/>
      <c r="AB155" s="98" t="s">
        <v>211</v>
      </c>
      <c r="AC155" s="124"/>
      <c r="AD155" s="98" t="s">
        <v>161</v>
      </c>
      <c r="AF155" s="100" t="s">
        <v>114</v>
      </c>
      <c r="AG155" s="99" t="s">
        <v>293</v>
      </c>
      <c r="AH155" s="98" t="s">
        <v>154</v>
      </c>
      <c r="AI155" s="100" t="s">
        <v>294</v>
      </c>
      <c r="AJ155" s="99" t="s">
        <v>103</v>
      </c>
      <c r="AK155" s="98" t="s">
        <v>251</v>
      </c>
      <c r="AL155" s="100" t="s">
        <v>273</v>
      </c>
      <c r="AM155" s="98" t="s">
        <v>212</v>
      </c>
      <c r="AN155" s="103" t="s">
        <v>257</v>
      </c>
    </row>
    <row r="156" spans="1:40" ht="15.75">
      <c r="B156" s="15">
        <f t="shared" si="3"/>
        <v>46489</v>
      </c>
      <c r="C156" s="23" t="s">
        <v>295</v>
      </c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95" t="s">
        <v>337</v>
      </c>
      <c r="S156" s="124"/>
      <c r="T156" s="72" t="s">
        <v>331</v>
      </c>
      <c r="U156" s="124"/>
      <c r="V156" s="98" t="s">
        <v>92</v>
      </c>
      <c r="W156" s="124"/>
      <c r="X156" s="100" t="s">
        <v>294</v>
      </c>
      <c r="Y156" s="124"/>
      <c r="Z156" s="98" t="s">
        <v>230</v>
      </c>
      <c r="AA156" s="124"/>
      <c r="AB156" s="98" t="s">
        <v>211</v>
      </c>
      <c r="AC156" s="124"/>
      <c r="AD156" s="99" t="s">
        <v>173</v>
      </c>
      <c r="AF156" s="98" t="s">
        <v>129</v>
      </c>
      <c r="AG156" s="156" t="s">
        <v>122</v>
      </c>
      <c r="AH156" s="98" t="s">
        <v>162</v>
      </c>
      <c r="AI156" s="98" t="s">
        <v>296</v>
      </c>
      <c r="AJ156" s="99" t="s">
        <v>103</v>
      </c>
      <c r="AK156" s="99" t="s">
        <v>255</v>
      </c>
      <c r="AL156" s="100" t="s">
        <v>273</v>
      </c>
      <c r="AM156" s="98" t="s">
        <v>170</v>
      </c>
      <c r="AN156" s="103" t="s">
        <v>260</v>
      </c>
    </row>
    <row r="157" spans="1:40" ht="15.75">
      <c r="B157" s="15">
        <f t="shared" si="3"/>
        <v>46496</v>
      </c>
      <c r="C157" s="23" t="s">
        <v>298</v>
      </c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95" t="s">
        <v>337</v>
      </c>
      <c r="S157" s="124"/>
      <c r="T157" s="71" t="s">
        <v>332</v>
      </c>
      <c r="U157" s="124"/>
      <c r="V157" s="99" t="s">
        <v>110</v>
      </c>
      <c r="W157" s="124"/>
      <c r="X157" s="100" t="s">
        <v>294</v>
      </c>
      <c r="Y157" s="124"/>
      <c r="Z157" s="98" t="s">
        <v>230</v>
      </c>
      <c r="AA157" s="124"/>
      <c r="AB157" s="99" t="s">
        <v>216</v>
      </c>
      <c r="AC157" s="124"/>
      <c r="AD157" s="99" t="s">
        <v>173</v>
      </c>
      <c r="AF157" s="98" t="s">
        <v>129</v>
      </c>
      <c r="AG157" s="98" t="s">
        <v>148</v>
      </c>
      <c r="AH157" s="98" t="s">
        <v>162</v>
      </c>
      <c r="AI157" s="98" t="s">
        <v>300</v>
      </c>
      <c r="AJ157" s="100" t="s">
        <v>115</v>
      </c>
      <c r="AK157" s="100" t="s">
        <v>113</v>
      </c>
      <c r="AL157" s="103" t="s">
        <v>278</v>
      </c>
      <c r="AM157" s="98" t="s">
        <v>189</v>
      </c>
      <c r="AN157" s="103" t="s">
        <v>260</v>
      </c>
    </row>
    <row r="158" spans="1:40" ht="15.75">
      <c r="B158" s="15">
        <f t="shared" si="3"/>
        <v>46503</v>
      </c>
      <c r="C158" s="23" t="s">
        <v>299</v>
      </c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72" t="s">
        <v>338</v>
      </c>
      <c r="S158" s="124"/>
      <c r="T158" s="71" t="s">
        <v>332</v>
      </c>
      <c r="U158" s="124"/>
      <c r="V158" s="99" t="s">
        <v>110</v>
      </c>
      <c r="W158" s="124"/>
      <c r="X158" s="98" t="s">
        <v>296</v>
      </c>
      <c r="Y158" s="124"/>
      <c r="Z158" s="99" t="s">
        <v>234</v>
      </c>
      <c r="AA158" s="124"/>
      <c r="AB158" s="99" t="s">
        <v>216</v>
      </c>
      <c r="AC158" s="124"/>
      <c r="AD158" s="100" t="s">
        <v>181</v>
      </c>
      <c r="AF158" s="98" t="s">
        <v>141</v>
      </c>
      <c r="AG158" s="98" t="s">
        <v>168</v>
      </c>
      <c r="AH158" s="99" t="s">
        <v>174</v>
      </c>
      <c r="AI158" s="98" t="s">
        <v>139</v>
      </c>
      <c r="AJ158" s="100" t="s">
        <v>115</v>
      </c>
      <c r="AK158" s="98" t="s">
        <v>127</v>
      </c>
      <c r="AL158" s="103" t="s">
        <v>278</v>
      </c>
      <c r="AM158" s="98" t="s">
        <v>204</v>
      </c>
      <c r="AN158" s="103" t="s">
        <v>263</v>
      </c>
    </row>
    <row r="159" spans="1:40" ht="15.75">
      <c r="B159" s="15">
        <f t="shared" si="3"/>
        <v>46510</v>
      </c>
      <c r="C159" s="23" t="s">
        <v>302</v>
      </c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72" t="s">
        <v>338</v>
      </c>
      <c r="S159" s="124"/>
      <c r="T159" s="95" t="s">
        <v>333</v>
      </c>
      <c r="U159" s="124"/>
      <c r="V159" s="100" t="s">
        <v>306</v>
      </c>
      <c r="W159" s="124"/>
      <c r="X159" s="98" t="s">
        <v>296</v>
      </c>
      <c r="Y159" s="124"/>
      <c r="Z159" s="99" t="s">
        <v>234</v>
      </c>
      <c r="AA159" s="124"/>
      <c r="AB159" s="100" t="s">
        <v>219</v>
      </c>
      <c r="AC159" s="124"/>
      <c r="AD159" s="100" t="s">
        <v>181</v>
      </c>
      <c r="AF159" s="98" t="s">
        <v>141</v>
      </c>
      <c r="AG159" s="98" t="s">
        <v>90</v>
      </c>
      <c r="AH159" s="99" t="s">
        <v>174</v>
      </c>
      <c r="AI159" s="98" t="s">
        <v>92</v>
      </c>
      <c r="AJ159" s="103" t="s">
        <v>131</v>
      </c>
      <c r="AK159" s="98" t="s">
        <v>140</v>
      </c>
      <c r="AL159" s="103" t="s">
        <v>283</v>
      </c>
      <c r="AM159" s="99" t="s">
        <v>96</v>
      </c>
      <c r="AN159" s="103" t="s">
        <v>263</v>
      </c>
    </row>
    <row r="160" spans="1:40" ht="15.75">
      <c r="B160" s="15">
        <f t="shared" si="3"/>
        <v>46517</v>
      </c>
      <c r="C160" s="23" t="s">
        <v>303</v>
      </c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71" t="s">
        <v>339</v>
      </c>
      <c r="S160" s="124"/>
      <c r="T160" s="95" t="s">
        <v>333</v>
      </c>
      <c r="U160" s="124"/>
      <c r="V160" s="100" t="s">
        <v>306</v>
      </c>
      <c r="W160" s="124"/>
      <c r="X160" s="98" t="s">
        <v>300</v>
      </c>
      <c r="Y160" s="124"/>
      <c r="Z160" s="100" t="s">
        <v>238</v>
      </c>
      <c r="AA160" s="124"/>
      <c r="AB160" s="100" t="s">
        <v>219</v>
      </c>
      <c r="AC160" s="124"/>
      <c r="AD160" s="98" t="s">
        <v>192</v>
      </c>
      <c r="AF160" s="98" t="s">
        <v>153</v>
      </c>
      <c r="AG160" s="98" t="s">
        <v>121</v>
      </c>
      <c r="AH160" s="100" t="s">
        <v>182</v>
      </c>
      <c r="AI160" s="99" t="s">
        <v>110</v>
      </c>
      <c r="AJ160" s="103" t="s">
        <v>131</v>
      </c>
      <c r="AK160" s="98" t="s">
        <v>94</v>
      </c>
      <c r="AL160" s="103" t="s">
        <v>283</v>
      </c>
      <c r="AM160" s="100" t="s">
        <v>231</v>
      </c>
      <c r="AN160" s="103" t="s">
        <v>266</v>
      </c>
    </row>
    <row r="161" spans="1:40" ht="15.75">
      <c r="B161" s="15">
        <f t="shared" si="3"/>
        <v>46524</v>
      </c>
      <c r="C161" s="23" t="s">
        <v>304</v>
      </c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71" t="s">
        <v>339</v>
      </c>
      <c r="S161" s="124"/>
      <c r="T161" s="95" t="s">
        <v>334</v>
      </c>
      <c r="U161" s="124"/>
      <c r="V161" s="98" t="s">
        <v>308</v>
      </c>
      <c r="W161" s="124"/>
      <c r="X161" s="98" t="s">
        <v>300</v>
      </c>
      <c r="Y161" s="124"/>
      <c r="Z161" s="100" t="s">
        <v>238</v>
      </c>
      <c r="AA161" s="124"/>
      <c r="AB161" s="98" t="s">
        <v>223</v>
      </c>
      <c r="AC161" s="124"/>
      <c r="AD161" s="98" t="s">
        <v>192</v>
      </c>
      <c r="AF161" s="162" t="s">
        <v>153</v>
      </c>
      <c r="AG161" s="99" t="s">
        <v>147</v>
      </c>
      <c r="AH161" s="163" t="s">
        <v>182</v>
      </c>
      <c r="AI161" s="100" t="s">
        <v>306</v>
      </c>
      <c r="AJ161" s="103" t="s">
        <v>142</v>
      </c>
      <c r="AK161" s="99" t="s">
        <v>123</v>
      </c>
      <c r="AL161" s="167" t="s">
        <v>288</v>
      </c>
      <c r="AM161" s="98" t="s">
        <v>235</v>
      </c>
      <c r="AN161" s="169" t="s">
        <v>266</v>
      </c>
    </row>
    <row r="162" spans="1:40" ht="15.75">
      <c r="B162" s="15">
        <f t="shared" si="3"/>
        <v>46531</v>
      </c>
      <c r="C162" s="23" t="s">
        <v>305</v>
      </c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72" t="s">
        <v>340</v>
      </c>
      <c r="S162" s="124"/>
      <c r="T162" s="95" t="s">
        <v>334</v>
      </c>
      <c r="U162" s="124"/>
      <c r="V162" s="98" t="s">
        <v>308</v>
      </c>
      <c r="W162" s="124"/>
      <c r="X162" s="98" t="s">
        <v>139</v>
      </c>
      <c r="Y162" s="124"/>
      <c r="Z162" s="98" t="s">
        <v>246</v>
      </c>
      <c r="AA162" s="124"/>
      <c r="AB162" s="98" t="s">
        <v>223</v>
      </c>
      <c r="AC162" s="124"/>
      <c r="AD162" s="99" t="s">
        <v>200</v>
      </c>
      <c r="AF162" s="162" t="s">
        <v>161</v>
      </c>
      <c r="AG162" s="100" t="s">
        <v>167</v>
      </c>
      <c r="AH162" s="110" t="s">
        <v>193</v>
      </c>
      <c r="AI162" s="98" t="s">
        <v>308</v>
      </c>
      <c r="AJ162" s="103" t="s">
        <v>142</v>
      </c>
      <c r="AK162" s="100" t="s">
        <v>277</v>
      </c>
      <c r="AL162" s="168" t="s">
        <v>288</v>
      </c>
      <c r="AM162" s="99" t="s">
        <v>160</v>
      </c>
      <c r="AN162" s="204" t="s">
        <v>269</v>
      </c>
    </row>
    <row r="163" spans="1:40" ht="15.75">
      <c r="B163" s="15">
        <f t="shared" si="3"/>
        <v>46538</v>
      </c>
      <c r="C163" s="23" t="s">
        <v>307</v>
      </c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72" t="s">
        <v>340</v>
      </c>
      <c r="S163" s="124"/>
      <c r="T163" s="95" t="s">
        <v>336</v>
      </c>
      <c r="U163" s="124"/>
      <c r="V163" s="98" t="s">
        <v>310</v>
      </c>
      <c r="W163" s="124"/>
      <c r="X163" s="98" t="s">
        <v>139</v>
      </c>
      <c r="Y163" s="124"/>
      <c r="Z163" s="98" t="s">
        <v>246</v>
      </c>
      <c r="AA163" s="124"/>
      <c r="AB163" s="98" t="s">
        <v>226</v>
      </c>
      <c r="AC163" s="124"/>
      <c r="AD163" s="99" t="s">
        <v>200</v>
      </c>
      <c r="AF163" s="162" t="s">
        <v>161</v>
      </c>
      <c r="AG163" s="107" t="s">
        <v>187</v>
      </c>
      <c r="AH163" s="110" t="s">
        <v>193</v>
      </c>
      <c r="AI163" s="98" t="s">
        <v>310</v>
      </c>
      <c r="AJ163" s="103" t="s">
        <v>154</v>
      </c>
      <c r="AK163" s="98" t="s">
        <v>282</v>
      </c>
      <c r="AL163" s="103" t="s">
        <v>291</v>
      </c>
      <c r="AM163" s="100" t="s">
        <v>247</v>
      </c>
      <c r="AN163" s="99" t="s">
        <v>269</v>
      </c>
    </row>
    <row r="164" spans="1:40" ht="15.75">
      <c r="B164" s="15">
        <f t="shared" si="3"/>
        <v>46545</v>
      </c>
      <c r="C164" s="23" t="s">
        <v>309</v>
      </c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95" t="s">
        <v>336</v>
      </c>
      <c r="U164" s="124"/>
      <c r="V164" s="98" t="s">
        <v>310</v>
      </c>
      <c r="W164" s="124"/>
      <c r="X164" s="98" t="s">
        <v>92</v>
      </c>
      <c r="Y164" s="124"/>
      <c r="Z164" s="98" t="s">
        <v>250</v>
      </c>
      <c r="AA164" s="124"/>
      <c r="AB164" s="98" t="s">
        <v>226</v>
      </c>
      <c r="AC164" s="124"/>
      <c r="AD164" s="100" t="s">
        <v>206</v>
      </c>
      <c r="AF164" s="185" t="s">
        <v>173</v>
      </c>
      <c r="AI164" s="99" t="s">
        <v>293</v>
      </c>
      <c r="AJ164" s="103" t="s">
        <v>154</v>
      </c>
      <c r="AK164" s="98" t="s">
        <v>287</v>
      </c>
      <c r="AL164" s="103" t="s">
        <v>291</v>
      </c>
      <c r="AM164" s="98" t="s">
        <v>251</v>
      </c>
      <c r="AN164" s="100" t="s">
        <v>273</v>
      </c>
    </row>
    <row r="165" spans="1:40" ht="15.75">
      <c r="A165" s="270" t="s">
        <v>341</v>
      </c>
      <c r="B165" s="40">
        <f t="shared" si="3"/>
        <v>46552</v>
      </c>
      <c r="C165" s="25" t="s">
        <v>312</v>
      </c>
      <c r="D165" s="38"/>
      <c r="E165" s="38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00" t="s">
        <v>206</v>
      </c>
      <c r="AE165" s="38"/>
      <c r="AF165" s="185" t="s">
        <v>173</v>
      </c>
      <c r="AG165" s="20"/>
      <c r="AH165" s="20"/>
      <c r="AI165" s="20"/>
      <c r="AJ165" s="176"/>
      <c r="AK165" s="212" t="s">
        <v>93</v>
      </c>
      <c r="AL165" s="176"/>
      <c r="AM165" s="212" t="s">
        <v>255</v>
      </c>
      <c r="AN165" s="176"/>
    </row>
    <row r="166" spans="1:40" ht="15.75">
      <c r="A166" s="271"/>
      <c r="B166" s="40">
        <f t="shared" si="3"/>
        <v>46559</v>
      </c>
      <c r="C166" s="25" t="s">
        <v>313</v>
      </c>
      <c r="D166" s="20"/>
      <c r="E166" s="20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</row>
    <row r="167" spans="1:40" ht="15.75">
      <c r="A167" s="271"/>
      <c r="B167" s="40">
        <f t="shared" si="3"/>
        <v>46566</v>
      </c>
      <c r="C167" s="25" t="s">
        <v>314</v>
      </c>
      <c r="D167" s="20"/>
      <c r="E167" s="20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</row>
    <row r="168" spans="1:40" ht="15.75">
      <c r="A168" s="271"/>
      <c r="B168" s="40">
        <f t="shared" si="3"/>
        <v>46573</v>
      </c>
      <c r="C168" s="25" t="s">
        <v>315</v>
      </c>
      <c r="D168" s="20"/>
      <c r="E168" s="20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</row>
    <row r="169" spans="1:40" ht="15.75">
      <c r="A169" s="271"/>
      <c r="B169" s="40">
        <f t="shared" si="3"/>
        <v>46580</v>
      </c>
      <c r="C169" s="25" t="s">
        <v>316</v>
      </c>
      <c r="D169" s="20"/>
      <c r="E169" s="20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</row>
    <row r="170" spans="1:40" ht="15.75">
      <c r="A170" s="271"/>
      <c r="B170" s="40">
        <f t="shared" si="3"/>
        <v>46587</v>
      </c>
      <c r="C170" s="25" t="s">
        <v>317</v>
      </c>
      <c r="D170" s="20"/>
      <c r="E170" s="20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</row>
    <row r="171" spans="1:40" ht="15.75">
      <c r="A171" s="271"/>
      <c r="B171" s="40">
        <f t="shared" si="3"/>
        <v>46594</v>
      </c>
      <c r="C171" s="25" t="s">
        <v>318</v>
      </c>
      <c r="D171" s="20"/>
      <c r="E171" s="20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</row>
    <row r="172" spans="1:40" ht="15.75">
      <c r="A172" s="271"/>
      <c r="B172" s="40">
        <f t="shared" si="3"/>
        <v>46601</v>
      </c>
      <c r="C172" s="25" t="s">
        <v>319</v>
      </c>
      <c r="D172" s="20"/>
      <c r="E172" s="20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</row>
    <row r="173" spans="1:40" ht="15.75">
      <c r="A173" s="272"/>
      <c r="B173" s="40">
        <f t="shared" si="3"/>
        <v>46608</v>
      </c>
      <c r="C173" s="25" t="s">
        <v>320</v>
      </c>
      <c r="D173" s="27"/>
      <c r="E173" s="27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27"/>
      <c r="AF173" s="27"/>
      <c r="AG173" s="27"/>
      <c r="AH173" s="20"/>
      <c r="AI173" s="20"/>
      <c r="AJ173" s="20"/>
      <c r="AK173" s="20"/>
      <c r="AL173" s="20"/>
      <c r="AM173" s="20"/>
      <c r="AN173" s="20"/>
    </row>
    <row r="174" spans="1:40" ht="15.75">
      <c r="A174" s="26" t="s">
        <v>88</v>
      </c>
      <c r="B174" s="15">
        <f t="shared" si="3"/>
        <v>46615</v>
      </c>
      <c r="C174" s="23" t="s">
        <v>89</v>
      </c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95" t="s">
        <v>337</v>
      </c>
      <c r="U174" s="124"/>
      <c r="V174" s="99" t="s">
        <v>293</v>
      </c>
      <c r="W174" s="124"/>
      <c r="X174" s="98" t="s">
        <v>92</v>
      </c>
      <c r="Y174" s="124"/>
      <c r="Z174" s="98" t="s">
        <v>250</v>
      </c>
      <c r="AA174" s="124"/>
      <c r="AB174" s="98" t="s">
        <v>230</v>
      </c>
      <c r="AC174" s="124"/>
      <c r="AD174" s="98" t="s">
        <v>211</v>
      </c>
      <c r="AF174" s="100" t="s">
        <v>181</v>
      </c>
      <c r="AH174" s="100" t="s">
        <v>97</v>
      </c>
      <c r="AI174" s="156" t="s">
        <v>122</v>
      </c>
      <c r="AJ174" s="103" t="s">
        <v>162</v>
      </c>
      <c r="AK174" s="138" t="s">
        <v>294</v>
      </c>
      <c r="AL174" s="106" t="s">
        <v>103</v>
      </c>
      <c r="AM174" s="138" t="s">
        <v>113</v>
      </c>
      <c r="AN174" s="138" t="s">
        <v>273</v>
      </c>
    </row>
    <row r="175" spans="1:40" ht="15.75">
      <c r="B175" s="15">
        <f t="shared" si="3"/>
        <v>46622</v>
      </c>
      <c r="C175" s="23" t="s">
        <v>109</v>
      </c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95" t="s">
        <v>337</v>
      </c>
      <c r="U175" s="124"/>
      <c r="V175" s="99" t="s">
        <v>293</v>
      </c>
      <c r="W175" s="124"/>
      <c r="X175" s="99" t="s">
        <v>110</v>
      </c>
      <c r="Y175" s="124"/>
      <c r="Z175" s="99" t="s">
        <v>254</v>
      </c>
      <c r="AA175" s="124"/>
      <c r="AB175" s="98" t="s">
        <v>230</v>
      </c>
      <c r="AC175" s="124"/>
      <c r="AD175" s="98" t="s">
        <v>211</v>
      </c>
      <c r="AF175" s="100" t="s">
        <v>181</v>
      </c>
      <c r="AH175" s="100" t="s">
        <v>97</v>
      </c>
      <c r="AI175" s="98" t="s">
        <v>148</v>
      </c>
      <c r="AJ175" s="103" t="s">
        <v>162</v>
      </c>
      <c r="AK175" s="98" t="s">
        <v>296</v>
      </c>
      <c r="AL175" s="99" t="s">
        <v>103</v>
      </c>
      <c r="AM175" s="98" t="s">
        <v>127</v>
      </c>
      <c r="AN175" s="103" t="s">
        <v>278</v>
      </c>
    </row>
    <row r="176" spans="1:40" ht="15.75">
      <c r="B176" s="15">
        <f t="shared" si="3"/>
        <v>46629</v>
      </c>
      <c r="C176" s="23" t="s">
        <v>120</v>
      </c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72" t="s">
        <v>338</v>
      </c>
      <c r="U176" s="124"/>
      <c r="V176" s="100" t="s">
        <v>122</v>
      </c>
      <c r="W176" s="124"/>
      <c r="X176" s="99" t="s">
        <v>110</v>
      </c>
      <c r="Y176" s="124"/>
      <c r="Z176" s="99" t="s">
        <v>254</v>
      </c>
      <c r="AA176" s="124"/>
      <c r="AB176" s="99" t="s">
        <v>234</v>
      </c>
      <c r="AC176" s="124"/>
      <c r="AD176" s="99" t="s">
        <v>216</v>
      </c>
      <c r="AF176" s="98" t="s">
        <v>192</v>
      </c>
      <c r="AH176" s="100" t="s">
        <v>114</v>
      </c>
      <c r="AI176" s="98" t="s">
        <v>168</v>
      </c>
      <c r="AJ176" s="99" t="s">
        <v>174</v>
      </c>
      <c r="AK176" s="98" t="s">
        <v>300</v>
      </c>
      <c r="AL176" s="100" t="s">
        <v>115</v>
      </c>
      <c r="AM176" s="98" t="s">
        <v>140</v>
      </c>
      <c r="AN176" s="103" t="s">
        <v>278</v>
      </c>
    </row>
    <row r="177" spans="1:40" ht="15.75">
      <c r="B177" s="15">
        <f t="shared" si="3"/>
        <v>46636</v>
      </c>
      <c r="C177" s="23" t="s">
        <v>136</v>
      </c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72" t="s">
        <v>338</v>
      </c>
      <c r="U177" s="124"/>
      <c r="V177" s="100" t="s">
        <v>122</v>
      </c>
      <c r="W177" s="124"/>
      <c r="X177" s="100" t="s">
        <v>306</v>
      </c>
      <c r="Y177" s="124"/>
      <c r="Z177" s="100" t="s">
        <v>259</v>
      </c>
      <c r="AA177" s="124"/>
      <c r="AB177" s="99" t="s">
        <v>234</v>
      </c>
      <c r="AC177" s="124"/>
      <c r="AD177" s="99" t="s">
        <v>216</v>
      </c>
      <c r="AF177" s="98" t="s">
        <v>192</v>
      </c>
      <c r="AH177" s="100" t="s">
        <v>114</v>
      </c>
      <c r="AI177" s="98" t="s">
        <v>90</v>
      </c>
      <c r="AJ177" s="99" t="s">
        <v>174</v>
      </c>
      <c r="AK177" s="98" t="s">
        <v>139</v>
      </c>
      <c r="AL177" s="100" t="s">
        <v>115</v>
      </c>
      <c r="AM177" s="98" t="s">
        <v>94</v>
      </c>
      <c r="AN177" s="103" t="s">
        <v>283</v>
      </c>
    </row>
    <row r="178" spans="1:40" ht="15.75">
      <c r="B178" s="15">
        <f t="shared" si="3"/>
        <v>46643</v>
      </c>
      <c r="C178" s="23" t="s">
        <v>146</v>
      </c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71" t="s">
        <v>339</v>
      </c>
      <c r="U178" s="124"/>
      <c r="V178" s="98" t="s">
        <v>148</v>
      </c>
      <c r="W178" s="124"/>
      <c r="X178" s="100" t="s">
        <v>306</v>
      </c>
      <c r="Y178" s="124"/>
      <c r="Z178" s="100" t="s">
        <v>259</v>
      </c>
      <c r="AA178" s="124"/>
      <c r="AB178" s="100" t="s">
        <v>238</v>
      </c>
      <c r="AC178" s="124"/>
      <c r="AD178" s="100" t="s">
        <v>219</v>
      </c>
      <c r="AF178" s="99" t="s">
        <v>200</v>
      </c>
      <c r="AH178" s="98" t="s">
        <v>129</v>
      </c>
      <c r="AI178" s="98" t="s">
        <v>121</v>
      </c>
      <c r="AJ178" s="100" t="s">
        <v>182</v>
      </c>
      <c r="AK178" s="98" t="s">
        <v>92</v>
      </c>
      <c r="AL178" s="103" t="s">
        <v>131</v>
      </c>
      <c r="AM178" s="99" t="s">
        <v>123</v>
      </c>
      <c r="AN178" s="103" t="s">
        <v>283</v>
      </c>
    </row>
    <row r="179" spans="1:40" ht="15.75">
      <c r="B179" s="15">
        <f t="shared" si="3"/>
        <v>46650</v>
      </c>
      <c r="C179" s="23" t="s">
        <v>158</v>
      </c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71" t="s">
        <v>339</v>
      </c>
      <c r="U179" s="124"/>
      <c r="V179" s="98" t="s">
        <v>148</v>
      </c>
      <c r="W179" s="124"/>
      <c r="X179" s="98" t="s">
        <v>308</v>
      </c>
      <c r="Y179" s="124"/>
      <c r="Z179" s="98" t="s">
        <v>262</v>
      </c>
      <c r="AA179" s="124"/>
      <c r="AB179" s="100" t="s">
        <v>238</v>
      </c>
      <c r="AC179" s="124"/>
      <c r="AD179" s="100" t="s">
        <v>219</v>
      </c>
      <c r="AF179" s="99" t="s">
        <v>200</v>
      </c>
      <c r="AH179" s="98" t="s">
        <v>129</v>
      </c>
      <c r="AI179" s="99" t="s">
        <v>147</v>
      </c>
      <c r="AJ179" s="163" t="s">
        <v>182</v>
      </c>
      <c r="AK179" s="99" t="s">
        <v>110</v>
      </c>
      <c r="AL179" s="103" t="s">
        <v>131</v>
      </c>
      <c r="AM179" s="100" t="s">
        <v>277</v>
      </c>
      <c r="AN179" s="167" t="s">
        <v>288</v>
      </c>
    </row>
    <row r="180" spans="1:40" ht="15.75">
      <c r="B180" s="15">
        <f t="shared" si="3"/>
        <v>46657</v>
      </c>
      <c r="C180" s="23" t="s">
        <v>166</v>
      </c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72" t="s">
        <v>340</v>
      </c>
      <c r="U180" s="124"/>
      <c r="V180" s="98" t="s">
        <v>168</v>
      </c>
      <c r="W180" s="124"/>
      <c r="X180" s="98" t="s">
        <v>308</v>
      </c>
      <c r="Y180" s="124"/>
      <c r="Z180" s="98" t="s">
        <v>262</v>
      </c>
      <c r="AA180" s="124"/>
      <c r="AB180" s="98" t="s">
        <v>246</v>
      </c>
      <c r="AC180" s="124"/>
      <c r="AD180" s="98" t="s">
        <v>223</v>
      </c>
      <c r="AF180" s="100" t="s">
        <v>206</v>
      </c>
      <c r="AH180" s="98" t="s">
        <v>141</v>
      </c>
      <c r="AI180" s="100" t="s">
        <v>167</v>
      </c>
      <c r="AJ180" s="110" t="s">
        <v>193</v>
      </c>
      <c r="AK180" s="100" t="s">
        <v>306</v>
      </c>
      <c r="AL180" s="103" t="s">
        <v>142</v>
      </c>
      <c r="AM180" s="98" t="s">
        <v>282</v>
      </c>
      <c r="AN180" s="168" t="s">
        <v>288</v>
      </c>
    </row>
    <row r="181" spans="1:40" ht="15.75">
      <c r="B181" s="15">
        <f t="shared" si="3"/>
        <v>46664</v>
      </c>
      <c r="C181" s="23" t="s">
        <v>178</v>
      </c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72" t="s">
        <v>340</v>
      </c>
      <c r="U181" s="124"/>
      <c r="V181" s="98" t="s">
        <v>168</v>
      </c>
      <c r="W181" s="124"/>
      <c r="X181" s="98" t="s">
        <v>310</v>
      </c>
      <c r="Y181" s="124"/>
      <c r="Z181" s="98" t="s">
        <v>265</v>
      </c>
      <c r="AA181" s="124"/>
      <c r="AB181" s="98" t="s">
        <v>246</v>
      </c>
      <c r="AC181" s="124"/>
      <c r="AD181" s="98" t="s">
        <v>223</v>
      </c>
      <c r="AF181" s="100" t="s">
        <v>206</v>
      </c>
      <c r="AH181" s="98" t="s">
        <v>141</v>
      </c>
      <c r="AI181" s="107" t="s">
        <v>187</v>
      </c>
      <c r="AJ181" s="110" t="s">
        <v>193</v>
      </c>
      <c r="AK181" s="98" t="s">
        <v>308</v>
      </c>
      <c r="AL181" s="103" t="s">
        <v>142</v>
      </c>
      <c r="AM181" s="98" t="s">
        <v>287</v>
      </c>
      <c r="AN181" s="103" t="s">
        <v>291</v>
      </c>
    </row>
    <row r="182" spans="1:40" ht="15.75">
      <c r="B182" s="15">
        <f t="shared" si="3"/>
        <v>46671</v>
      </c>
      <c r="C182" s="23" t="s">
        <v>186</v>
      </c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98" t="s">
        <v>90</v>
      </c>
      <c r="W182" s="124"/>
      <c r="X182" s="98" t="s">
        <v>310</v>
      </c>
      <c r="Y182" s="124"/>
      <c r="Z182" s="98" t="s">
        <v>265</v>
      </c>
      <c r="AA182" s="124"/>
      <c r="AB182" s="98" t="s">
        <v>250</v>
      </c>
      <c r="AC182" s="124"/>
      <c r="AD182" s="98" t="s">
        <v>226</v>
      </c>
      <c r="AF182" s="98" t="s">
        <v>211</v>
      </c>
      <c r="AH182" s="98" t="s">
        <v>153</v>
      </c>
      <c r="AJ182" s="172"/>
      <c r="AK182" s="98" t="s">
        <v>310</v>
      </c>
      <c r="AL182" s="103" t="s">
        <v>154</v>
      </c>
      <c r="AM182" s="99" t="s">
        <v>93</v>
      </c>
      <c r="AN182" s="103" t="s">
        <v>291</v>
      </c>
    </row>
    <row r="183" spans="1:40" ht="15.75">
      <c r="A183" s="26" t="s">
        <v>197</v>
      </c>
      <c r="B183" s="15">
        <f t="shared" si="3"/>
        <v>46678</v>
      </c>
      <c r="C183" s="23" t="s">
        <v>198</v>
      </c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98" t="s">
        <v>90</v>
      </c>
      <c r="W183" s="124"/>
      <c r="X183" s="99" t="s">
        <v>293</v>
      </c>
      <c r="Y183" s="124"/>
      <c r="Z183" s="98" t="s">
        <v>268</v>
      </c>
      <c r="AA183" s="124"/>
      <c r="AB183" s="98" t="s">
        <v>250</v>
      </c>
      <c r="AC183" s="124"/>
      <c r="AD183" s="98" t="s">
        <v>226</v>
      </c>
      <c r="AF183" s="98" t="s">
        <v>211</v>
      </c>
      <c r="AH183" s="98" t="s">
        <v>153</v>
      </c>
      <c r="AJ183" s="100" t="s">
        <v>97</v>
      </c>
      <c r="AK183" s="99" t="s">
        <v>293</v>
      </c>
      <c r="AL183" s="103" t="s">
        <v>154</v>
      </c>
      <c r="AM183" s="100" t="s">
        <v>294</v>
      </c>
      <c r="AN183" s="99" t="s">
        <v>103</v>
      </c>
    </row>
    <row r="184" spans="1:40" ht="15.75">
      <c r="B184" s="15">
        <f t="shared" si="3"/>
        <v>46685</v>
      </c>
      <c r="C184" s="23" t="s">
        <v>203</v>
      </c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98" t="s">
        <v>121</v>
      </c>
      <c r="W184" s="124"/>
      <c r="X184" s="99" t="s">
        <v>293</v>
      </c>
      <c r="Y184" s="124"/>
      <c r="Z184" s="98" t="s">
        <v>268</v>
      </c>
      <c r="AA184" s="124"/>
      <c r="AB184" s="99" t="s">
        <v>254</v>
      </c>
      <c r="AC184" s="124"/>
      <c r="AD184" s="98" t="s">
        <v>230</v>
      </c>
      <c r="AF184" s="99" t="s">
        <v>216</v>
      </c>
      <c r="AH184" s="98" t="s">
        <v>161</v>
      </c>
      <c r="AJ184" s="100" t="s">
        <v>97</v>
      </c>
      <c r="AK184" s="156" t="s">
        <v>122</v>
      </c>
      <c r="AL184" s="103" t="s">
        <v>162</v>
      </c>
      <c r="AM184" s="98" t="s">
        <v>296</v>
      </c>
      <c r="AN184" s="99" t="s">
        <v>103</v>
      </c>
    </row>
    <row r="185" spans="1:40" ht="15.75">
      <c r="B185" s="15">
        <f t="shared" si="3"/>
        <v>46692</v>
      </c>
      <c r="C185" s="23" t="s">
        <v>210</v>
      </c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98" t="s">
        <v>121</v>
      </c>
      <c r="W185" s="124"/>
      <c r="X185" s="100" t="s">
        <v>122</v>
      </c>
      <c r="Y185" s="124"/>
      <c r="Z185" s="98" t="s">
        <v>272</v>
      </c>
      <c r="AA185" s="124"/>
      <c r="AB185" s="99" t="s">
        <v>254</v>
      </c>
      <c r="AC185" s="124"/>
      <c r="AD185" s="98" t="s">
        <v>230</v>
      </c>
      <c r="AF185" s="99" t="s">
        <v>216</v>
      </c>
      <c r="AH185" s="98" t="s">
        <v>161</v>
      </c>
      <c r="AJ185" s="100" t="s">
        <v>114</v>
      </c>
      <c r="AK185" s="98" t="s">
        <v>148</v>
      </c>
      <c r="AL185" s="103" t="s">
        <v>162</v>
      </c>
      <c r="AM185" s="98" t="s">
        <v>300</v>
      </c>
      <c r="AN185" s="100" t="s">
        <v>115</v>
      </c>
    </row>
    <row r="186" spans="1:40" ht="15.75">
      <c r="B186" s="15">
        <f t="shared" si="3"/>
        <v>46699</v>
      </c>
      <c r="C186" s="23" t="s">
        <v>214</v>
      </c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99" t="s">
        <v>147</v>
      </c>
      <c r="W186" s="124"/>
      <c r="X186" s="100" t="s">
        <v>122</v>
      </c>
      <c r="Y186" s="124"/>
      <c r="Z186" s="98" t="s">
        <v>272</v>
      </c>
      <c r="AA186" s="124"/>
      <c r="AB186" s="100" t="s">
        <v>259</v>
      </c>
      <c r="AC186" s="124"/>
      <c r="AD186" s="99" t="s">
        <v>234</v>
      </c>
      <c r="AF186" s="100" t="s">
        <v>219</v>
      </c>
      <c r="AH186" s="99" t="s">
        <v>173</v>
      </c>
      <c r="AJ186" s="100" t="s">
        <v>114</v>
      </c>
      <c r="AK186" s="98" t="s">
        <v>168</v>
      </c>
      <c r="AL186" s="99" t="s">
        <v>174</v>
      </c>
      <c r="AM186" s="98" t="s">
        <v>139</v>
      </c>
      <c r="AN186" s="100" t="s">
        <v>115</v>
      </c>
    </row>
    <row r="187" spans="1:40" ht="15.75">
      <c r="B187" s="15">
        <f t="shared" si="3"/>
        <v>46706</v>
      </c>
      <c r="C187" s="23" t="s">
        <v>218</v>
      </c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99" t="s">
        <v>147</v>
      </c>
      <c r="W187" s="124"/>
      <c r="X187" s="98" t="s">
        <v>148</v>
      </c>
      <c r="Y187" s="124"/>
      <c r="Z187" s="99" t="s">
        <v>276</v>
      </c>
      <c r="AA187" s="124"/>
      <c r="AB187" s="100" t="s">
        <v>259</v>
      </c>
      <c r="AC187" s="124"/>
      <c r="AD187" s="99" t="s">
        <v>234</v>
      </c>
      <c r="AF187" s="100" t="s">
        <v>219</v>
      </c>
      <c r="AH187" s="99" t="s">
        <v>173</v>
      </c>
      <c r="AJ187" s="103" t="s">
        <v>129</v>
      </c>
      <c r="AK187" s="98" t="s">
        <v>90</v>
      </c>
      <c r="AL187" s="99" t="s">
        <v>174</v>
      </c>
      <c r="AM187" s="98" t="s">
        <v>92</v>
      </c>
      <c r="AN187" s="103" t="s">
        <v>131</v>
      </c>
    </row>
    <row r="188" spans="1:40" ht="15.75">
      <c r="B188" s="15">
        <f t="shared" si="3"/>
        <v>46713</v>
      </c>
      <c r="C188" s="23" t="s">
        <v>221</v>
      </c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00" t="s">
        <v>167</v>
      </c>
      <c r="W188" s="124"/>
      <c r="X188" s="98" t="s">
        <v>148</v>
      </c>
      <c r="Y188" s="124"/>
      <c r="Z188" s="99" t="s">
        <v>276</v>
      </c>
      <c r="AA188" s="124"/>
      <c r="AB188" s="98" t="s">
        <v>262</v>
      </c>
      <c r="AC188" s="124"/>
      <c r="AD188" s="100" t="s">
        <v>238</v>
      </c>
      <c r="AF188" s="98" t="s">
        <v>223</v>
      </c>
      <c r="AH188" s="100" t="s">
        <v>181</v>
      </c>
      <c r="AJ188" s="103" t="s">
        <v>129</v>
      </c>
      <c r="AK188" s="98" t="s">
        <v>121</v>
      </c>
      <c r="AL188" s="100" t="s">
        <v>182</v>
      </c>
      <c r="AM188" s="99" t="s">
        <v>110</v>
      </c>
      <c r="AN188" s="103" t="s">
        <v>131</v>
      </c>
    </row>
    <row r="189" spans="1:40" ht="15.75">
      <c r="B189" s="15">
        <f t="shared" si="3"/>
        <v>46720</v>
      </c>
      <c r="C189" s="23" t="s">
        <v>225</v>
      </c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00" t="s">
        <v>167</v>
      </c>
      <c r="W189" s="124"/>
      <c r="X189" s="98" t="s">
        <v>168</v>
      </c>
      <c r="Y189" s="124"/>
      <c r="Z189" s="100" t="s">
        <v>281</v>
      </c>
      <c r="AA189" s="124"/>
      <c r="AB189" s="98" t="s">
        <v>262</v>
      </c>
      <c r="AC189" s="124"/>
      <c r="AD189" s="100" t="s">
        <v>238</v>
      </c>
      <c r="AF189" s="98" t="s">
        <v>223</v>
      </c>
      <c r="AH189" s="100" t="s">
        <v>181</v>
      </c>
      <c r="AJ189" s="103" t="s">
        <v>141</v>
      </c>
      <c r="AK189" s="99" t="s">
        <v>147</v>
      </c>
      <c r="AL189" s="163" t="s">
        <v>182</v>
      </c>
      <c r="AM189" s="100" t="s">
        <v>306</v>
      </c>
      <c r="AN189" s="103" t="s">
        <v>142</v>
      </c>
    </row>
    <row r="190" spans="1:40" ht="15.75">
      <c r="B190" s="15">
        <f t="shared" si="3"/>
        <v>46727</v>
      </c>
      <c r="C190" s="23" t="s">
        <v>228</v>
      </c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99" t="s">
        <v>187</v>
      </c>
      <c r="W190" s="124"/>
      <c r="X190" s="98" t="s">
        <v>168</v>
      </c>
      <c r="Y190" s="124"/>
      <c r="Z190" s="100" t="s">
        <v>281</v>
      </c>
      <c r="AA190" s="124"/>
      <c r="AB190" s="98" t="s">
        <v>265</v>
      </c>
      <c r="AC190" s="124"/>
      <c r="AD190" s="98" t="s">
        <v>246</v>
      </c>
      <c r="AF190" s="98" t="s">
        <v>226</v>
      </c>
      <c r="AH190" s="98" t="s">
        <v>192</v>
      </c>
      <c r="AJ190" s="103" t="s">
        <v>141</v>
      </c>
      <c r="AK190" s="100" t="s">
        <v>167</v>
      </c>
      <c r="AL190" s="110" t="s">
        <v>193</v>
      </c>
      <c r="AM190" s="98" t="s">
        <v>308</v>
      </c>
      <c r="AN190" s="103" t="s">
        <v>142</v>
      </c>
    </row>
    <row r="191" spans="1:40" ht="15.75">
      <c r="B191" s="15">
        <f t="shared" si="3"/>
        <v>46734</v>
      </c>
      <c r="C191" s="23" t="s">
        <v>233</v>
      </c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99" t="s">
        <v>187</v>
      </c>
      <c r="W191" s="124"/>
      <c r="X191" s="98" t="s">
        <v>90</v>
      </c>
      <c r="Y191" s="124"/>
      <c r="Z191" s="98" t="s">
        <v>286</v>
      </c>
      <c r="AA191" s="124"/>
      <c r="AB191" s="98" t="s">
        <v>265</v>
      </c>
      <c r="AC191" s="124"/>
      <c r="AD191" s="98" t="s">
        <v>246</v>
      </c>
      <c r="AF191" s="98" t="s">
        <v>226</v>
      </c>
      <c r="AH191" s="158" t="s">
        <v>192</v>
      </c>
      <c r="AJ191" s="169" t="s">
        <v>153</v>
      </c>
      <c r="AK191" s="107" t="s">
        <v>187</v>
      </c>
      <c r="AL191" s="213" t="s">
        <v>193</v>
      </c>
      <c r="AM191" s="122" t="s">
        <v>310</v>
      </c>
      <c r="AN191" s="169" t="s">
        <v>154</v>
      </c>
    </row>
    <row r="192" spans="1:40" ht="15.75">
      <c r="A192" s="274" t="s">
        <v>323</v>
      </c>
      <c r="B192" s="40">
        <f t="shared" si="3"/>
        <v>46741</v>
      </c>
      <c r="C192" s="25" t="s">
        <v>237</v>
      </c>
      <c r="D192" s="38"/>
      <c r="E192" s="38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38"/>
      <c r="AF192" s="38"/>
      <c r="AG192" s="38"/>
      <c r="AH192" s="20"/>
      <c r="AI192" s="20"/>
      <c r="AJ192" s="19"/>
      <c r="AK192" s="20"/>
      <c r="AL192" s="20"/>
      <c r="AM192" s="20"/>
      <c r="AN192" s="20"/>
    </row>
    <row r="193" spans="1:40" ht="15.75">
      <c r="A193" s="275"/>
      <c r="B193" s="40">
        <f t="shared" si="3"/>
        <v>46748</v>
      </c>
      <c r="C193" s="25" t="s">
        <v>241</v>
      </c>
      <c r="D193" s="27"/>
      <c r="E193" s="27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27"/>
      <c r="AF193" s="27"/>
      <c r="AG193" s="27"/>
      <c r="AH193" s="20"/>
      <c r="AI193" s="20"/>
      <c r="AJ193" s="20"/>
      <c r="AK193" s="20"/>
      <c r="AL193" s="20"/>
      <c r="AM193" s="20"/>
      <c r="AN193" s="20"/>
    </row>
    <row r="194" spans="1:40" ht="15.75">
      <c r="B194" s="15">
        <f t="shared" si="3"/>
        <v>46755</v>
      </c>
      <c r="C194" s="23" t="s">
        <v>242</v>
      </c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98" t="s">
        <v>148</v>
      </c>
      <c r="W194" s="124"/>
      <c r="X194" s="98" t="s">
        <v>90</v>
      </c>
      <c r="Y194" s="124"/>
      <c r="Z194" s="98" t="s">
        <v>286</v>
      </c>
      <c r="AA194" s="124"/>
      <c r="AB194" s="98" t="s">
        <v>268</v>
      </c>
      <c r="AC194" s="124"/>
      <c r="AD194" s="98" t="s">
        <v>250</v>
      </c>
      <c r="AF194" s="98" t="s">
        <v>230</v>
      </c>
      <c r="AH194" s="99" t="s">
        <v>200</v>
      </c>
      <c r="AJ194" s="103" t="s">
        <v>153</v>
      </c>
      <c r="AL194" s="138" t="s">
        <v>97</v>
      </c>
      <c r="AM194" s="106" t="s">
        <v>293</v>
      </c>
      <c r="AN194" s="171" t="s">
        <v>154</v>
      </c>
    </row>
    <row r="195" spans="1:40" ht="15.75">
      <c r="A195" s="26" t="s">
        <v>243</v>
      </c>
      <c r="B195" s="15">
        <f t="shared" si="3"/>
        <v>46762</v>
      </c>
      <c r="C195" s="23" t="s">
        <v>244</v>
      </c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98" t="s">
        <v>148</v>
      </c>
      <c r="W195" s="124"/>
      <c r="X195" s="98" t="s">
        <v>121</v>
      </c>
      <c r="Y195" s="124"/>
      <c r="Z195" s="98" t="s">
        <v>290</v>
      </c>
      <c r="AA195" s="124"/>
      <c r="AB195" s="98" t="s">
        <v>268</v>
      </c>
      <c r="AC195" s="124"/>
      <c r="AD195" s="98" t="s">
        <v>250</v>
      </c>
      <c r="AF195" s="98" t="s">
        <v>230</v>
      </c>
      <c r="AH195" s="99" t="s">
        <v>200</v>
      </c>
      <c r="AJ195" s="103" t="s">
        <v>161</v>
      </c>
      <c r="AL195" s="100" t="s">
        <v>97</v>
      </c>
      <c r="AM195" s="156" t="s">
        <v>122</v>
      </c>
      <c r="AN195" s="103" t="s">
        <v>162</v>
      </c>
    </row>
    <row r="196" spans="1:40" ht="15.75">
      <c r="B196" s="15">
        <f t="shared" si="3"/>
        <v>46769</v>
      </c>
      <c r="C196" s="23" t="s">
        <v>249</v>
      </c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98" t="s">
        <v>168</v>
      </c>
      <c r="W196" s="124"/>
      <c r="X196" s="98" t="s">
        <v>121</v>
      </c>
      <c r="Y196" s="124"/>
      <c r="Z196" s="98" t="s">
        <v>290</v>
      </c>
      <c r="AA196" s="124"/>
      <c r="AB196" s="98" t="s">
        <v>272</v>
      </c>
      <c r="AC196" s="124"/>
      <c r="AD196" s="99" t="s">
        <v>254</v>
      </c>
      <c r="AF196" s="99" t="s">
        <v>234</v>
      </c>
      <c r="AH196" s="100" t="s">
        <v>206</v>
      </c>
      <c r="AJ196" s="103" t="s">
        <v>161</v>
      </c>
      <c r="AL196" s="100" t="s">
        <v>114</v>
      </c>
      <c r="AM196" s="98" t="s">
        <v>148</v>
      </c>
      <c r="AN196" s="103" t="s">
        <v>162</v>
      </c>
    </row>
    <row r="197" spans="1:40" ht="15.75">
      <c r="B197" s="15">
        <f t="shared" si="3"/>
        <v>46776</v>
      </c>
      <c r="C197" s="23" t="s">
        <v>253</v>
      </c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98" t="s">
        <v>168</v>
      </c>
      <c r="W197" s="124"/>
      <c r="X197" s="99" t="s">
        <v>147</v>
      </c>
      <c r="Y197" s="124"/>
      <c r="Z197" s="99" t="s">
        <v>331</v>
      </c>
      <c r="AA197" s="124"/>
      <c r="AB197" s="98" t="s">
        <v>272</v>
      </c>
      <c r="AC197" s="124"/>
      <c r="AD197" s="99" t="s">
        <v>254</v>
      </c>
      <c r="AF197" s="99" t="s">
        <v>234</v>
      </c>
      <c r="AH197" s="100" t="s">
        <v>206</v>
      </c>
      <c r="AJ197" s="99" t="s">
        <v>173</v>
      </c>
      <c r="AL197" s="100" t="s">
        <v>114</v>
      </c>
      <c r="AM197" s="98" t="s">
        <v>168</v>
      </c>
      <c r="AN197" s="99" t="s">
        <v>174</v>
      </c>
    </row>
    <row r="198" spans="1:40" ht="15.75">
      <c r="B198" s="15">
        <f t="shared" ref="B198:B252" si="4">B197+7</f>
        <v>46783</v>
      </c>
      <c r="C198" s="23" t="s">
        <v>258</v>
      </c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98" t="s">
        <v>90</v>
      </c>
      <c r="W198" s="124"/>
      <c r="X198" s="99" t="s">
        <v>147</v>
      </c>
      <c r="Y198" s="124"/>
      <c r="Z198" s="99" t="s">
        <v>331</v>
      </c>
      <c r="AA198" s="124"/>
      <c r="AB198" s="99" t="s">
        <v>276</v>
      </c>
      <c r="AC198" s="124"/>
      <c r="AD198" s="100" t="s">
        <v>259</v>
      </c>
      <c r="AF198" s="100" t="s">
        <v>238</v>
      </c>
      <c r="AH198" s="98" t="s">
        <v>211</v>
      </c>
      <c r="AJ198" s="99" t="s">
        <v>173</v>
      </c>
      <c r="AL198" s="98" t="s">
        <v>129</v>
      </c>
      <c r="AM198" s="98" t="s">
        <v>90</v>
      </c>
      <c r="AN198" s="99" t="s">
        <v>174</v>
      </c>
    </row>
    <row r="199" spans="1:40" ht="15.75">
      <c r="B199" s="15">
        <f t="shared" si="4"/>
        <v>46790</v>
      </c>
      <c r="C199" s="23" t="s">
        <v>261</v>
      </c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98" t="s">
        <v>90</v>
      </c>
      <c r="W199" s="124"/>
      <c r="X199" s="100" t="s">
        <v>167</v>
      </c>
      <c r="Y199" s="124"/>
      <c r="Z199" s="100" t="s">
        <v>332</v>
      </c>
      <c r="AA199" s="124"/>
      <c r="AB199" s="99" t="s">
        <v>276</v>
      </c>
      <c r="AC199" s="124"/>
      <c r="AD199" s="100" t="s">
        <v>259</v>
      </c>
      <c r="AF199" s="100" t="s">
        <v>238</v>
      </c>
      <c r="AH199" s="98" t="s">
        <v>211</v>
      </c>
      <c r="AJ199" s="100" t="s">
        <v>181</v>
      </c>
      <c r="AL199" s="98" t="s">
        <v>129</v>
      </c>
      <c r="AM199" s="98" t="s">
        <v>121</v>
      </c>
      <c r="AN199" s="100" t="s">
        <v>182</v>
      </c>
    </row>
    <row r="200" spans="1:40" ht="15.75">
      <c r="B200" s="15">
        <f t="shared" si="4"/>
        <v>46797</v>
      </c>
      <c r="C200" s="23" t="s">
        <v>264</v>
      </c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98" t="s">
        <v>121</v>
      </c>
      <c r="W200" s="124"/>
      <c r="X200" s="100" t="s">
        <v>167</v>
      </c>
      <c r="Y200" s="124"/>
      <c r="Z200" s="100" t="s">
        <v>332</v>
      </c>
      <c r="AA200" s="124"/>
      <c r="AB200" s="100" t="s">
        <v>281</v>
      </c>
      <c r="AC200" s="124"/>
      <c r="AD200" s="98" t="s">
        <v>262</v>
      </c>
      <c r="AF200" s="98" t="s">
        <v>246</v>
      </c>
      <c r="AH200" s="99" t="s">
        <v>216</v>
      </c>
      <c r="AJ200" s="100" t="s">
        <v>181</v>
      </c>
      <c r="AL200" s="98" t="s">
        <v>141</v>
      </c>
      <c r="AM200" s="99" t="s">
        <v>147</v>
      </c>
      <c r="AN200" s="163" t="s">
        <v>182</v>
      </c>
    </row>
    <row r="201" spans="1:40" ht="15.75">
      <c r="B201" s="15">
        <f t="shared" si="4"/>
        <v>46804</v>
      </c>
      <c r="C201" s="23" t="s">
        <v>267</v>
      </c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98" t="s">
        <v>121</v>
      </c>
      <c r="W201" s="124"/>
      <c r="X201" s="99" t="s">
        <v>187</v>
      </c>
      <c r="Y201" s="124"/>
      <c r="Z201" s="98" t="s">
        <v>333</v>
      </c>
      <c r="AA201" s="124"/>
      <c r="AB201" s="100" t="s">
        <v>281</v>
      </c>
      <c r="AC201" s="124"/>
      <c r="AD201" s="98" t="s">
        <v>262</v>
      </c>
      <c r="AF201" s="98" t="s">
        <v>246</v>
      </c>
      <c r="AH201" s="99" t="s">
        <v>216</v>
      </c>
      <c r="AJ201" s="103" t="s">
        <v>192</v>
      </c>
      <c r="AL201" s="98" t="s">
        <v>141</v>
      </c>
      <c r="AM201" s="100" t="s">
        <v>167</v>
      </c>
      <c r="AN201" s="110" t="s">
        <v>193</v>
      </c>
    </row>
    <row r="202" spans="1:40" ht="15.75">
      <c r="B202" s="15">
        <f t="shared" si="4"/>
        <v>46811</v>
      </c>
      <c r="C202" s="23" t="s">
        <v>270</v>
      </c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99" t="s">
        <v>147</v>
      </c>
      <c r="W202" s="124"/>
      <c r="X202" s="99" t="s">
        <v>187</v>
      </c>
      <c r="Y202" s="124"/>
      <c r="Z202" s="98" t="s">
        <v>333</v>
      </c>
      <c r="AA202" s="124"/>
      <c r="AB202" s="98" t="s">
        <v>286</v>
      </c>
      <c r="AC202" s="124"/>
      <c r="AD202" s="98" t="s">
        <v>265</v>
      </c>
      <c r="AF202" s="98" t="s">
        <v>250</v>
      </c>
      <c r="AH202" s="100" t="s">
        <v>219</v>
      </c>
      <c r="AJ202" s="167" t="s">
        <v>192</v>
      </c>
      <c r="AL202" s="98" t="s">
        <v>153</v>
      </c>
      <c r="AM202" s="107" t="s">
        <v>187</v>
      </c>
      <c r="AN202" s="110" t="s">
        <v>193</v>
      </c>
    </row>
    <row r="203" spans="1:40" ht="15.75">
      <c r="B203" s="15">
        <f t="shared" si="4"/>
        <v>46818</v>
      </c>
      <c r="C203" s="23" t="s">
        <v>274</v>
      </c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99" t="s">
        <v>147</v>
      </c>
      <c r="W203" s="124"/>
      <c r="Y203" s="124"/>
      <c r="Z203" s="98" t="s">
        <v>334</v>
      </c>
      <c r="AA203" s="124"/>
      <c r="AB203" s="98" t="s">
        <v>286</v>
      </c>
      <c r="AC203" s="124"/>
      <c r="AD203" s="98" t="s">
        <v>265</v>
      </c>
      <c r="AF203" s="98" t="s">
        <v>250</v>
      </c>
      <c r="AH203" s="100" t="s">
        <v>219</v>
      </c>
      <c r="AJ203" s="99" t="s">
        <v>200</v>
      </c>
      <c r="AL203" s="98" t="s">
        <v>153</v>
      </c>
    </row>
    <row r="204" spans="1:40" ht="15.75">
      <c r="A204" s="26" t="s">
        <v>279</v>
      </c>
      <c r="B204" s="15">
        <f t="shared" si="4"/>
        <v>46825</v>
      </c>
      <c r="C204" s="23" t="s">
        <v>280</v>
      </c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00" t="s">
        <v>167</v>
      </c>
      <c r="W204" s="124"/>
      <c r="X204" s="124"/>
      <c r="Y204" s="124"/>
      <c r="Z204" s="98" t="s">
        <v>334</v>
      </c>
      <c r="AA204" s="124"/>
      <c r="AB204" s="98" t="s">
        <v>290</v>
      </c>
      <c r="AC204" s="124"/>
      <c r="AD204" s="98" t="s">
        <v>268</v>
      </c>
      <c r="AF204" s="99" t="s">
        <v>254</v>
      </c>
      <c r="AH204" s="98" t="s">
        <v>223</v>
      </c>
      <c r="AJ204" s="99" t="s">
        <v>200</v>
      </c>
      <c r="AL204" s="98" t="s">
        <v>161</v>
      </c>
      <c r="AN204" s="100" t="s">
        <v>97</v>
      </c>
    </row>
    <row r="205" spans="1:40" ht="15.75">
      <c r="B205" s="15">
        <f t="shared" si="4"/>
        <v>46832</v>
      </c>
      <c r="C205" s="23" t="s">
        <v>284</v>
      </c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00" t="s">
        <v>167</v>
      </c>
      <c r="W205" s="124"/>
      <c r="X205" s="124"/>
      <c r="Y205" s="124"/>
      <c r="Z205" s="98" t="s">
        <v>336</v>
      </c>
      <c r="AA205" s="124"/>
      <c r="AB205" s="98" t="s">
        <v>290</v>
      </c>
      <c r="AC205" s="124"/>
      <c r="AD205" s="98" t="s">
        <v>268</v>
      </c>
      <c r="AF205" s="99" t="s">
        <v>254</v>
      </c>
      <c r="AH205" s="98" t="s">
        <v>223</v>
      </c>
      <c r="AJ205" s="100" t="s">
        <v>206</v>
      </c>
      <c r="AL205" s="98" t="s">
        <v>161</v>
      </c>
      <c r="AN205" s="100" t="s">
        <v>97</v>
      </c>
    </row>
    <row r="206" spans="1:40" ht="15.75">
      <c r="B206" s="15">
        <f t="shared" si="4"/>
        <v>46839</v>
      </c>
      <c r="C206" s="23" t="s">
        <v>289</v>
      </c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99" t="s">
        <v>187</v>
      </c>
      <c r="W206" s="124"/>
      <c r="X206" s="124"/>
      <c r="Y206" s="124"/>
      <c r="Z206" s="98" t="s">
        <v>336</v>
      </c>
      <c r="AA206" s="124"/>
      <c r="AB206" s="99" t="s">
        <v>331</v>
      </c>
      <c r="AC206" s="124"/>
      <c r="AD206" s="98" t="s">
        <v>272</v>
      </c>
      <c r="AF206" s="100" t="s">
        <v>259</v>
      </c>
      <c r="AH206" s="98" t="s">
        <v>226</v>
      </c>
      <c r="AJ206" s="100" t="s">
        <v>206</v>
      </c>
      <c r="AL206" s="99" t="s">
        <v>173</v>
      </c>
      <c r="AN206" s="100" t="s">
        <v>114</v>
      </c>
    </row>
    <row r="207" spans="1:40" ht="15.75">
      <c r="B207" s="15">
        <f t="shared" si="4"/>
        <v>46846</v>
      </c>
      <c r="C207" s="23" t="s">
        <v>292</v>
      </c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07" t="s">
        <v>187</v>
      </c>
      <c r="W207" s="124"/>
      <c r="X207" s="124"/>
      <c r="Y207" s="124"/>
      <c r="Z207" s="122" t="s">
        <v>337</v>
      </c>
      <c r="AA207" s="124"/>
      <c r="AB207" s="107" t="s">
        <v>331</v>
      </c>
      <c r="AC207" s="124"/>
      <c r="AD207" s="122" t="s">
        <v>272</v>
      </c>
      <c r="AF207" s="100" t="s">
        <v>259</v>
      </c>
      <c r="AH207" s="98" t="s">
        <v>226</v>
      </c>
      <c r="AJ207" s="103" t="s">
        <v>211</v>
      </c>
      <c r="AL207" s="99" t="s">
        <v>173</v>
      </c>
      <c r="AN207" s="100" t="s">
        <v>114</v>
      </c>
    </row>
    <row r="208" spans="1:40" ht="15.75">
      <c r="A208" s="76" t="s">
        <v>326</v>
      </c>
      <c r="B208" s="40">
        <f t="shared" si="4"/>
        <v>46853</v>
      </c>
      <c r="C208" s="25" t="s">
        <v>295</v>
      </c>
      <c r="D208" s="38"/>
      <c r="E208" s="38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79"/>
      <c r="AK208" s="179"/>
      <c r="AL208" s="179"/>
      <c r="AM208" s="179"/>
      <c r="AN208" s="179"/>
    </row>
    <row r="209" spans="1:40" ht="15.75">
      <c r="B209" s="15">
        <f t="shared" si="4"/>
        <v>46860</v>
      </c>
      <c r="C209" s="23" t="s">
        <v>298</v>
      </c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3" t="s">
        <v>337</v>
      </c>
      <c r="AA209" s="124"/>
      <c r="AB209" s="138" t="s">
        <v>332</v>
      </c>
      <c r="AC209" s="124"/>
      <c r="AD209" s="106" t="s">
        <v>276</v>
      </c>
      <c r="AF209" s="98" t="s">
        <v>262</v>
      </c>
      <c r="AH209" s="98" t="s">
        <v>230</v>
      </c>
      <c r="AJ209" s="103" t="s">
        <v>211</v>
      </c>
      <c r="AL209" s="100" t="s">
        <v>181</v>
      </c>
      <c r="AN209" s="98" t="s">
        <v>129</v>
      </c>
    </row>
    <row r="210" spans="1:40" ht="15.75">
      <c r="B210" s="15">
        <f t="shared" si="4"/>
        <v>46867</v>
      </c>
      <c r="C210" s="23" t="s">
        <v>299</v>
      </c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99" t="s">
        <v>338</v>
      </c>
      <c r="AA210" s="124"/>
      <c r="AB210" s="100" t="s">
        <v>332</v>
      </c>
      <c r="AC210" s="124"/>
      <c r="AD210" s="99" t="s">
        <v>276</v>
      </c>
      <c r="AF210" s="98" t="s">
        <v>262</v>
      </c>
      <c r="AH210" s="98" t="s">
        <v>230</v>
      </c>
      <c r="AJ210" s="99" t="s">
        <v>216</v>
      </c>
      <c r="AL210" s="100" t="s">
        <v>181</v>
      </c>
      <c r="AN210" s="98" t="s">
        <v>129</v>
      </c>
    </row>
    <row r="211" spans="1:40" ht="15.75">
      <c r="B211" s="15">
        <f t="shared" si="4"/>
        <v>46874</v>
      </c>
      <c r="C211" s="23" t="s">
        <v>302</v>
      </c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99" t="s">
        <v>338</v>
      </c>
      <c r="AA211" s="124"/>
      <c r="AB211" s="98" t="s">
        <v>333</v>
      </c>
      <c r="AC211" s="124"/>
      <c r="AD211" s="100" t="s">
        <v>281</v>
      </c>
      <c r="AF211" s="98" t="s">
        <v>265</v>
      </c>
      <c r="AH211" s="99" t="s">
        <v>234</v>
      </c>
      <c r="AJ211" s="99" t="s">
        <v>216</v>
      </c>
      <c r="AL211" s="98" t="s">
        <v>192</v>
      </c>
      <c r="AN211" s="98" t="s">
        <v>141</v>
      </c>
    </row>
    <row r="212" spans="1:40" ht="15.75">
      <c r="B212" s="15">
        <f t="shared" si="4"/>
        <v>46881</v>
      </c>
      <c r="C212" s="23" t="s">
        <v>303</v>
      </c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00" t="s">
        <v>339</v>
      </c>
      <c r="AA212" s="124"/>
      <c r="AB212" s="98" t="s">
        <v>333</v>
      </c>
      <c r="AC212" s="124"/>
      <c r="AD212" s="100" t="s">
        <v>281</v>
      </c>
      <c r="AF212" s="98" t="s">
        <v>265</v>
      </c>
      <c r="AH212" s="99" t="s">
        <v>234</v>
      </c>
      <c r="AJ212" s="100" t="s">
        <v>219</v>
      </c>
      <c r="AL212" s="158" t="s">
        <v>192</v>
      </c>
      <c r="AN212" s="98" t="s">
        <v>141</v>
      </c>
    </row>
    <row r="213" spans="1:40" ht="15.75">
      <c r="B213" s="15">
        <f t="shared" si="4"/>
        <v>46888</v>
      </c>
      <c r="C213" s="23" t="s">
        <v>304</v>
      </c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00" t="s">
        <v>339</v>
      </c>
      <c r="AA213" s="124"/>
      <c r="AB213" s="98" t="s">
        <v>334</v>
      </c>
      <c r="AC213" s="124"/>
      <c r="AD213" s="98" t="s">
        <v>286</v>
      </c>
      <c r="AF213" s="98" t="s">
        <v>268</v>
      </c>
      <c r="AH213" s="100" t="s">
        <v>238</v>
      </c>
      <c r="AJ213" s="100" t="s">
        <v>219</v>
      </c>
      <c r="AL213" s="99" t="s">
        <v>200</v>
      </c>
      <c r="AN213" s="98" t="s">
        <v>153</v>
      </c>
    </row>
    <row r="214" spans="1:40" ht="15.75">
      <c r="B214" s="15">
        <f t="shared" si="4"/>
        <v>46895</v>
      </c>
      <c r="C214" s="23" t="s">
        <v>305</v>
      </c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99" t="s">
        <v>340</v>
      </c>
      <c r="AA214" s="124"/>
      <c r="AB214" s="98" t="s">
        <v>334</v>
      </c>
      <c r="AC214" s="124"/>
      <c r="AD214" s="98" t="s">
        <v>286</v>
      </c>
      <c r="AF214" s="98" t="s">
        <v>268</v>
      </c>
      <c r="AH214" s="100" t="s">
        <v>238</v>
      </c>
      <c r="AJ214" s="103" t="s">
        <v>223</v>
      </c>
      <c r="AL214" s="99" t="s">
        <v>200</v>
      </c>
      <c r="AN214" s="98" t="s">
        <v>153</v>
      </c>
    </row>
    <row r="215" spans="1:40" ht="15.75">
      <c r="B215" s="15">
        <f t="shared" si="4"/>
        <v>46902</v>
      </c>
      <c r="C215" s="23" t="s">
        <v>307</v>
      </c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99" t="s">
        <v>340</v>
      </c>
      <c r="AA215" s="124"/>
      <c r="AB215" s="98" t="s">
        <v>336</v>
      </c>
      <c r="AC215" s="124"/>
      <c r="AD215" s="98" t="s">
        <v>290</v>
      </c>
      <c r="AF215" s="98" t="s">
        <v>272</v>
      </c>
      <c r="AH215" s="122" t="s">
        <v>246</v>
      </c>
      <c r="AJ215" s="103" t="s">
        <v>223</v>
      </c>
      <c r="AL215" s="100" t="s">
        <v>206</v>
      </c>
      <c r="AN215" s="98" t="s">
        <v>161</v>
      </c>
    </row>
    <row r="216" spans="1:40" ht="15.75">
      <c r="B216" s="15">
        <f t="shared" si="4"/>
        <v>46909</v>
      </c>
      <c r="C216" s="23" t="s">
        <v>309</v>
      </c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2" t="s">
        <v>336</v>
      </c>
      <c r="AC216" s="124"/>
      <c r="AD216" s="122" t="s">
        <v>290</v>
      </c>
      <c r="AF216" s="122" t="s">
        <v>272</v>
      </c>
      <c r="AH216" s="161" t="s">
        <v>246</v>
      </c>
      <c r="AJ216" s="103" t="s">
        <v>226</v>
      </c>
      <c r="AL216" s="100" t="s">
        <v>206</v>
      </c>
      <c r="AN216" s="98" t="s">
        <v>161</v>
      </c>
    </row>
    <row r="217" spans="1:40" ht="15.75">
      <c r="A217" s="273" t="s">
        <v>311</v>
      </c>
      <c r="B217" s="40">
        <f t="shared" si="4"/>
        <v>46916</v>
      </c>
      <c r="C217" s="25" t="s">
        <v>312</v>
      </c>
      <c r="D217" s="73"/>
      <c r="E217" s="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8"/>
      <c r="AI217" s="118"/>
      <c r="AJ217" s="180"/>
      <c r="AK217" s="180"/>
      <c r="AL217" s="180"/>
      <c r="AM217" s="180"/>
      <c r="AN217" s="180"/>
    </row>
    <row r="218" spans="1:40" ht="15.75">
      <c r="A218" s="273"/>
      <c r="B218" s="40">
        <f t="shared" si="4"/>
        <v>46923</v>
      </c>
      <c r="C218" s="25" t="s">
        <v>313</v>
      </c>
      <c r="D218" s="74"/>
      <c r="E218" s="20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80"/>
      <c r="AK218" s="180"/>
      <c r="AL218" s="180"/>
      <c r="AM218" s="180"/>
      <c r="AN218" s="180"/>
    </row>
    <row r="219" spans="1:40" ht="15.75">
      <c r="A219" s="273"/>
      <c r="B219" s="40">
        <f t="shared" si="4"/>
        <v>46930</v>
      </c>
      <c r="C219" s="25" t="s">
        <v>314</v>
      </c>
      <c r="D219" s="74"/>
      <c r="E219" s="20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80"/>
      <c r="AK219" s="180"/>
      <c r="AL219" s="180"/>
      <c r="AM219" s="180"/>
      <c r="AN219" s="180"/>
    </row>
    <row r="220" spans="1:40" ht="15.75">
      <c r="A220" s="273"/>
      <c r="B220" s="40">
        <f t="shared" si="4"/>
        <v>46937</v>
      </c>
      <c r="C220" s="25" t="s">
        <v>315</v>
      </c>
      <c r="D220" s="74"/>
      <c r="E220" s="20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80"/>
      <c r="AK220" s="180"/>
      <c r="AL220" s="180"/>
      <c r="AM220" s="180"/>
      <c r="AN220" s="180"/>
    </row>
    <row r="221" spans="1:40" ht="15.75">
      <c r="A221" s="273"/>
      <c r="B221" s="40">
        <f t="shared" si="4"/>
        <v>46944</v>
      </c>
      <c r="C221" s="25" t="s">
        <v>316</v>
      </c>
      <c r="D221" s="74"/>
      <c r="E221" s="20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80"/>
      <c r="AK221" s="180"/>
      <c r="AL221" s="180"/>
      <c r="AM221" s="180"/>
      <c r="AN221" s="180"/>
    </row>
    <row r="222" spans="1:40" ht="15.75">
      <c r="A222" s="273"/>
      <c r="B222" s="40">
        <f t="shared" si="4"/>
        <v>46951</v>
      </c>
      <c r="C222" s="25" t="s">
        <v>317</v>
      </c>
      <c r="D222" s="74"/>
      <c r="E222" s="20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80"/>
      <c r="AK222" s="180"/>
      <c r="AL222" s="180"/>
      <c r="AM222" s="180"/>
      <c r="AN222" s="180"/>
    </row>
    <row r="223" spans="1:40" ht="15.75">
      <c r="A223" s="273"/>
      <c r="B223" s="40">
        <f t="shared" si="4"/>
        <v>46958</v>
      </c>
      <c r="C223" s="25" t="s">
        <v>318</v>
      </c>
      <c r="D223" s="74"/>
      <c r="E223" s="20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80"/>
      <c r="AK223" s="180"/>
      <c r="AL223" s="180"/>
      <c r="AM223" s="180"/>
      <c r="AN223" s="180"/>
    </row>
    <row r="224" spans="1:40" ht="15.75">
      <c r="A224" s="273"/>
      <c r="B224" s="40">
        <f t="shared" si="4"/>
        <v>46965</v>
      </c>
      <c r="C224" s="25" t="s">
        <v>319</v>
      </c>
      <c r="D224" s="74"/>
      <c r="E224" s="20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80"/>
      <c r="AK224" s="180"/>
      <c r="AL224" s="180"/>
      <c r="AM224" s="180"/>
      <c r="AN224" s="180"/>
    </row>
    <row r="225" spans="1:40" ht="15.75">
      <c r="A225" s="273"/>
      <c r="B225" s="40">
        <f t="shared" si="4"/>
        <v>46972</v>
      </c>
      <c r="C225" s="25" t="s">
        <v>320</v>
      </c>
      <c r="D225" s="75"/>
      <c r="E225" s="21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18"/>
      <c r="AI225" s="118"/>
      <c r="AJ225" s="180"/>
      <c r="AK225" s="180"/>
      <c r="AL225" s="180"/>
      <c r="AM225" s="180"/>
      <c r="AN225" s="180"/>
    </row>
    <row r="226" spans="1:40" ht="15.75">
      <c r="A226" s="26" t="s">
        <v>88</v>
      </c>
      <c r="B226" s="15">
        <f t="shared" si="4"/>
        <v>46979</v>
      </c>
      <c r="C226" s="23" t="s">
        <v>89</v>
      </c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3" t="s">
        <v>337</v>
      </c>
      <c r="AC226" s="124"/>
      <c r="AD226" s="106" t="s">
        <v>331</v>
      </c>
      <c r="AF226" s="106" t="s">
        <v>276</v>
      </c>
      <c r="AH226" s="160" t="s">
        <v>250</v>
      </c>
      <c r="AJ226" s="103" t="s">
        <v>226</v>
      </c>
      <c r="AL226" s="103" t="s">
        <v>211</v>
      </c>
      <c r="AN226" s="99" t="s">
        <v>173</v>
      </c>
    </row>
    <row r="227" spans="1:40" ht="15.75">
      <c r="B227" s="15">
        <f t="shared" si="4"/>
        <v>46986</v>
      </c>
      <c r="C227" s="23" t="s">
        <v>109</v>
      </c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98" t="s">
        <v>337</v>
      </c>
      <c r="AC227" s="124"/>
      <c r="AD227" s="99" t="s">
        <v>331</v>
      </c>
      <c r="AF227" s="99" t="s">
        <v>276</v>
      </c>
      <c r="AH227" s="98" t="s">
        <v>250</v>
      </c>
      <c r="AJ227" s="103" t="s">
        <v>230</v>
      </c>
      <c r="AL227" s="103" t="s">
        <v>211</v>
      </c>
      <c r="AN227" s="99" t="s">
        <v>173</v>
      </c>
    </row>
    <row r="228" spans="1:40" ht="15.75">
      <c r="B228" s="15">
        <f t="shared" si="4"/>
        <v>46993</v>
      </c>
      <c r="C228" s="23" t="s">
        <v>120</v>
      </c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99" t="s">
        <v>338</v>
      </c>
      <c r="AC228" s="124"/>
      <c r="AD228" s="100" t="s">
        <v>332</v>
      </c>
      <c r="AF228" s="100" t="s">
        <v>281</v>
      </c>
      <c r="AH228" s="99" t="s">
        <v>254</v>
      </c>
      <c r="AJ228" s="103" t="s">
        <v>230</v>
      </c>
      <c r="AL228" s="99" t="s">
        <v>216</v>
      </c>
      <c r="AN228" s="100" t="s">
        <v>181</v>
      </c>
    </row>
    <row r="229" spans="1:40" ht="15.75">
      <c r="B229" s="15">
        <f t="shared" si="4"/>
        <v>47000</v>
      </c>
      <c r="C229" s="23" t="s">
        <v>136</v>
      </c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99" t="s">
        <v>338</v>
      </c>
      <c r="AC229" s="124"/>
      <c r="AD229" s="100" t="s">
        <v>332</v>
      </c>
      <c r="AF229" s="100" t="s">
        <v>281</v>
      </c>
      <c r="AH229" s="99" t="s">
        <v>254</v>
      </c>
      <c r="AJ229" s="99" t="s">
        <v>234</v>
      </c>
      <c r="AL229" s="99" t="s">
        <v>216</v>
      </c>
      <c r="AN229" s="100" t="s">
        <v>181</v>
      </c>
    </row>
    <row r="230" spans="1:40" ht="15.75">
      <c r="B230" s="15">
        <f t="shared" si="4"/>
        <v>47007</v>
      </c>
      <c r="C230" s="23" t="s">
        <v>146</v>
      </c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00" t="s">
        <v>339</v>
      </c>
      <c r="AC230" s="124"/>
      <c r="AD230" s="98" t="s">
        <v>333</v>
      </c>
      <c r="AF230" s="98" t="s">
        <v>286</v>
      </c>
      <c r="AH230" s="100" t="s">
        <v>259</v>
      </c>
      <c r="AJ230" s="99" t="s">
        <v>234</v>
      </c>
      <c r="AL230" s="100" t="s">
        <v>219</v>
      </c>
      <c r="AN230" s="98" t="s">
        <v>192</v>
      </c>
    </row>
    <row r="231" spans="1:40" ht="15.75">
      <c r="B231" s="15">
        <f t="shared" si="4"/>
        <v>47014</v>
      </c>
      <c r="C231" s="23" t="s">
        <v>158</v>
      </c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00" t="s">
        <v>339</v>
      </c>
      <c r="AC231" s="124"/>
      <c r="AD231" s="98" t="s">
        <v>333</v>
      </c>
      <c r="AF231" s="98" t="s">
        <v>286</v>
      </c>
      <c r="AH231" s="100" t="s">
        <v>259</v>
      </c>
      <c r="AJ231" s="100" t="s">
        <v>238</v>
      </c>
      <c r="AL231" s="100" t="s">
        <v>219</v>
      </c>
      <c r="AN231" s="158" t="s">
        <v>192</v>
      </c>
    </row>
    <row r="232" spans="1:40" ht="15.75">
      <c r="B232" s="15">
        <f t="shared" si="4"/>
        <v>47021</v>
      </c>
      <c r="C232" s="23" t="s">
        <v>166</v>
      </c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99" t="s">
        <v>340</v>
      </c>
      <c r="AC232" s="124"/>
      <c r="AD232" s="98" t="s">
        <v>334</v>
      </c>
      <c r="AF232" s="98" t="s">
        <v>290</v>
      </c>
      <c r="AH232" s="98" t="s">
        <v>262</v>
      </c>
      <c r="AJ232" s="100" t="s">
        <v>238</v>
      </c>
      <c r="AL232" s="103" t="s">
        <v>223</v>
      </c>
      <c r="AN232" s="99" t="s">
        <v>200</v>
      </c>
    </row>
    <row r="233" spans="1:40" ht="15.75">
      <c r="B233" s="15">
        <f t="shared" si="4"/>
        <v>47028</v>
      </c>
      <c r="C233" s="23" t="s">
        <v>178</v>
      </c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99" t="s">
        <v>340</v>
      </c>
      <c r="AC233" s="124"/>
      <c r="AD233" s="98" t="s">
        <v>334</v>
      </c>
      <c r="AF233" s="122" t="s">
        <v>290</v>
      </c>
      <c r="AH233" s="98" t="s">
        <v>262</v>
      </c>
      <c r="AJ233" s="169" t="s">
        <v>246</v>
      </c>
      <c r="AL233" s="103" t="s">
        <v>223</v>
      </c>
      <c r="AN233" s="99" t="s">
        <v>200</v>
      </c>
    </row>
    <row r="234" spans="1:40" ht="15.75">
      <c r="B234" s="15">
        <f t="shared" si="4"/>
        <v>47035</v>
      </c>
      <c r="C234" s="23" t="s">
        <v>186</v>
      </c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98" t="s">
        <v>336</v>
      </c>
      <c r="AF234" s="106" t="s">
        <v>331</v>
      </c>
      <c r="AH234" s="98" t="s">
        <v>265</v>
      </c>
      <c r="AJ234" s="170" t="s">
        <v>246</v>
      </c>
      <c r="AL234" s="103" t="s">
        <v>226</v>
      </c>
      <c r="AN234" s="100" t="s">
        <v>206</v>
      </c>
    </row>
    <row r="235" spans="1:40" ht="15.75">
      <c r="A235" s="26" t="s">
        <v>197</v>
      </c>
      <c r="B235" s="15">
        <f t="shared" si="4"/>
        <v>47042</v>
      </c>
      <c r="C235" s="23" t="s">
        <v>198</v>
      </c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2" t="s">
        <v>336</v>
      </c>
      <c r="AF235" s="99" t="s">
        <v>331</v>
      </c>
      <c r="AH235" s="98" t="s">
        <v>265</v>
      </c>
      <c r="AJ235" s="168" t="s">
        <v>250</v>
      </c>
      <c r="AL235" s="103" t="s">
        <v>226</v>
      </c>
      <c r="AN235" s="100" t="s">
        <v>206</v>
      </c>
    </row>
    <row r="236" spans="1:40" ht="15.75">
      <c r="B236" s="15">
        <f t="shared" si="4"/>
        <v>47049</v>
      </c>
      <c r="C236" s="23" t="s">
        <v>203</v>
      </c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3" t="s">
        <v>337</v>
      </c>
      <c r="AF236" s="100" t="s">
        <v>332</v>
      </c>
      <c r="AH236" s="98" t="s">
        <v>268</v>
      </c>
      <c r="AJ236" s="103" t="s">
        <v>250</v>
      </c>
      <c r="AL236" s="103" t="s">
        <v>230</v>
      </c>
      <c r="AN236" s="103" t="s">
        <v>211</v>
      </c>
    </row>
    <row r="237" spans="1:40" ht="15.75">
      <c r="B237" s="15">
        <f t="shared" si="4"/>
        <v>47056</v>
      </c>
      <c r="C237" s="23" t="s">
        <v>210</v>
      </c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98" t="s">
        <v>337</v>
      </c>
      <c r="AF237" s="100" t="s">
        <v>332</v>
      </c>
      <c r="AH237" s="98" t="s">
        <v>268</v>
      </c>
      <c r="AJ237" s="99" t="s">
        <v>254</v>
      </c>
      <c r="AL237" s="103" t="s">
        <v>230</v>
      </c>
      <c r="AN237" s="103" t="s">
        <v>211</v>
      </c>
    </row>
    <row r="238" spans="1:40" ht="15.75">
      <c r="B238" s="15">
        <f t="shared" si="4"/>
        <v>47063</v>
      </c>
      <c r="C238" s="23" t="s">
        <v>214</v>
      </c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99" t="s">
        <v>338</v>
      </c>
      <c r="AF238" s="98" t="s">
        <v>333</v>
      </c>
      <c r="AH238" s="98" t="s">
        <v>272</v>
      </c>
      <c r="AJ238" s="99" t="s">
        <v>254</v>
      </c>
      <c r="AL238" s="99" t="s">
        <v>234</v>
      </c>
      <c r="AN238" s="99" t="s">
        <v>216</v>
      </c>
    </row>
    <row r="239" spans="1:40" ht="15.75">
      <c r="B239" s="15">
        <f t="shared" si="4"/>
        <v>47070</v>
      </c>
      <c r="C239" s="23" t="s">
        <v>218</v>
      </c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99" t="s">
        <v>338</v>
      </c>
      <c r="AF239" s="98" t="s">
        <v>333</v>
      </c>
      <c r="AH239" s="122" t="s">
        <v>272</v>
      </c>
      <c r="AJ239" s="100" t="s">
        <v>259</v>
      </c>
      <c r="AL239" s="99" t="s">
        <v>234</v>
      </c>
      <c r="AN239" s="99" t="s">
        <v>216</v>
      </c>
    </row>
    <row r="240" spans="1:40" ht="15.75">
      <c r="B240" s="15">
        <f t="shared" si="4"/>
        <v>47077</v>
      </c>
      <c r="C240" s="23" t="s">
        <v>221</v>
      </c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00" t="s">
        <v>339</v>
      </c>
      <c r="AF240" s="98" t="s">
        <v>334</v>
      </c>
      <c r="AH240" s="106" t="s">
        <v>276</v>
      </c>
      <c r="AJ240" s="100" t="s">
        <v>259</v>
      </c>
      <c r="AL240" s="100" t="s">
        <v>238</v>
      </c>
      <c r="AN240" s="100" t="s">
        <v>219</v>
      </c>
    </row>
    <row r="241" spans="1:40" ht="15.75">
      <c r="B241" s="15">
        <f t="shared" si="4"/>
        <v>47084</v>
      </c>
      <c r="C241" s="23" t="s">
        <v>225</v>
      </c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00" t="s">
        <v>339</v>
      </c>
      <c r="AF241" s="98" t="s">
        <v>334</v>
      </c>
      <c r="AH241" s="99" t="s">
        <v>276</v>
      </c>
      <c r="AJ241" s="103" t="s">
        <v>262</v>
      </c>
      <c r="AL241" s="100" t="s">
        <v>238</v>
      </c>
      <c r="AN241" s="100" t="s">
        <v>219</v>
      </c>
    </row>
    <row r="242" spans="1:40" ht="15.75">
      <c r="B242" s="15">
        <f t="shared" si="4"/>
        <v>47091</v>
      </c>
      <c r="C242" s="23" t="s">
        <v>228</v>
      </c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99" t="s">
        <v>340</v>
      </c>
      <c r="AF242" s="98" t="s">
        <v>336</v>
      </c>
      <c r="AH242" s="100" t="s">
        <v>281</v>
      </c>
      <c r="AJ242" s="103" t="s">
        <v>262</v>
      </c>
      <c r="AL242" s="169" t="s">
        <v>246</v>
      </c>
      <c r="AN242" s="103" t="s">
        <v>223</v>
      </c>
    </row>
    <row r="243" spans="1:40" ht="15.75">
      <c r="B243" s="15">
        <f t="shared" si="4"/>
        <v>47098</v>
      </c>
      <c r="C243" s="23" t="s">
        <v>233</v>
      </c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07" t="s">
        <v>340</v>
      </c>
      <c r="AF243" s="122" t="s">
        <v>336</v>
      </c>
      <c r="AH243" s="100" t="s">
        <v>281</v>
      </c>
      <c r="AJ243" s="183" t="s">
        <v>265</v>
      </c>
      <c r="AL243" s="170" t="s">
        <v>246</v>
      </c>
      <c r="AN243" s="103" t="s">
        <v>223</v>
      </c>
    </row>
    <row r="244" spans="1:40" ht="15.75">
      <c r="A244" s="274" t="s">
        <v>240</v>
      </c>
      <c r="B244" s="40">
        <f t="shared" si="4"/>
        <v>47105</v>
      </c>
      <c r="C244" s="25" t="s">
        <v>237</v>
      </c>
      <c r="D244" s="77"/>
      <c r="E244" s="77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  <c r="AB244" s="139"/>
      <c r="AC244" s="139"/>
      <c r="AD244" s="139"/>
      <c r="AE244" s="140"/>
      <c r="AF244" s="140"/>
      <c r="AG244" s="140"/>
      <c r="AH244" s="140"/>
      <c r="AI244" s="140"/>
      <c r="AJ244" s="181"/>
      <c r="AK244" s="41"/>
    </row>
    <row r="245" spans="1:40" ht="15.75">
      <c r="A245" s="275"/>
      <c r="B245" s="40">
        <f t="shared" si="4"/>
        <v>47112</v>
      </c>
      <c r="C245" s="25" t="s">
        <v>241</v>
      </c>
      <c r="D245" s="77"/>
      <c r="E245" s="77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2"/>
      <c r="AF245" s="142"/>
      <c r="AG245" s="142"/>
      <c r="AH245" s="142"/>
      <c r="AI245" s="142"/>
      <c r="AJ245" s="182"/>
      <c r="AK245" s="41"/>
    </row>
    <row r="246" spans="1:40" ht="15.75">
      <c r="B246" s="15">
        <f t="shared" si="4"/>
        <v>47119</v>
      </c>
      <c r="C246" s="23" t="s">
        <v>342</v>
      </c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F246" s="123" t="s">
        <v>337</v>
      </c>
      <c r="AH246" s="98" t="s">
        <v>286</v>
      </c>
      <c r="AI246" s="166"/>
      <c r="AJ246" s="103" t="s">
        <v>265</v>
      </c>
      <c r="AL246" s="168" t="s">
        <v>250</v>
      </c>
      <c r="AN246" s="103" t="s">
        <v>226</v>
      </c>
    </row>
    <row r="247" spans="1:40" ht="15.75">
      <c r="B247" s="15">
        <f t="shared" si="4"/>
        <v>47126</v>
      </c>
      <c r="C247" s="23" t="s">
        <v>343</v>
      </c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F247" s="98" t="s">
        <v>337</v>
      </c>
      <c r="AH247" s="98" t="s">
        <v>286</v>
      </c>
      <c r="AI247" s="166"/>
      <c r="AJ247" s="103" t="s">
        <v>268</v>
      </c>
      <c r="AL247" s="103" t="s">
        <v>250</v>
      </c>
      <c r="AN247" s="103" t="s">
        <v>226</v>
      </c>
    </row>
    <row r="248" spans="1:40" ht="15.75">
      <c r="B248" s="15">
        <f t="shared" si="4"/>
        <v>47133</v>
      </c>
      <c r="C248" s="23" t="s">
        <v>344</v>
      </c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F248" s="99" t="s">
        <v>338</v>
      </c>
      <c r="AH248" s="98" t="s">
        <v>290</v>
      </c>
      <c r="AI248" s="166"/>
      <c r="AJ248" s="103" t="s">
        <v>268</v>
      </c>
      <c r="AL248" s="99" t="s">
        <v>254</v>
      </c>
      <c r="AN248" s="103" t="s">
        <v>230</v>
      </c>
    </row>
    <row r="249" spans="1:40" ht="15.75">
      <c r="B249" s="15">
        <f t="shared" si="4"/>
        <v>47140</v>
      </c>
      <c r="C249" s="23" t="s">
        <v>345</v>
      </c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F249" s="99" t="s">
        <v>338</v>
      </c>
      <c r="AH249" s="122" t="s">
        <v>290</v>
      </c>
      <c r="AI249" s="166"/>
      <c r="AJ249" s="103" t="s">
        <v>272</v>
      </c>
      <c r="AL249" s="99" t="s">
        <v>254</v>
      </c>
      <c r="AN249" s="103" t="s">
        <v>230</v>
      </c>
    </row>
    <row r="250" spans="1:40" ht="15.75">
      <c r="B250" s="15">
        <f t="shared" si="4"/>
        <v>47147</v>
      </c>
      <c r="C250" s="23" t="s">
        <v>346</v>
      </c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F250" s="100" t="s">
        <v>339</v>
      </c>
      <c r="AH250" s="106" t="s">
        <v>331</v>
      </c>
      <c r="AI250" s="173"/>
      <c r="AJ250" s="169" t="s">
        <v>272</v>
      </c>
      <c r="AL250" s="100" t="s">
        <v>259</v>
      </c>
      <c r="AN250" s="99" t="s">
        <v>234</v>
      </c>
    </row>
    <row r="251" spans="1:40" ht="15.75">
      <c r="B251" s="15">
        <f t="shared" si="4"/>
        <v>47154</v>
      </c>
      <c r="C251" s="23" t="s">
        <v>347</v>
      </c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F251" s="100" t="s">
        <v>339</v>
      </c>
      <c r="AH251" s="99" t="s">
        <v>331</v>
      </c>
      <c r="AI251" s="173"/>
      <c r="AJ251" s="106" t="s">
        <v>276</v>
      </c>
      <c r="AL251" s="100" t="s">
        <v>259</v>
      </c>
      <c r="AN251" s="99" t="s">
        <v>234</v>
      </c>
    </row>
    <row r="252" spans="1:40" ht="15.75">
      <c r="B252" s="15">
        <f>B251+7</f>
        <v>47161</v>
      </c>
      <c r="C252" s="186" t="s">
        <v>348</v>
      </c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F252" s="99" t="s">
        <v>340</v>
      </c>
      <c r="AH252" s="100" t="s">
        <v>332</v>
      </c>
      <c r="AI252" s="173"/>
      <c r="AJ252" s="99" t="s">
        <v>276</v>
      </c>
      <c r="AL252" s="103" t="s">
        <v>262</v>
      </c>
      <c r="AN252" s="100" t="s">
        <v>238</v>
      </c>
    </row>
    <row r="253" spans="1:40" ht="15.75">
      <c r="B253" s="15">
        <f t="shared" ref="B253:B307" si="5">B252+7</f>
        <v>47168</v>
      </c>
      <c r="C253" s="92" t="s">
        <v>349</v>
      </c>
      <c r="AF253" s="107" t="s">
        <v>340</v>
      </c>
      <c r="AH253" s="100" t="s">
        <v>332</v>
      </c>
      <c r="AI253" s="173"/>
      <c r="AJ253" s="100" t="s">
        <v>281</v>
      </c>
      <c r="AL253" s="103" t="s">
        <v>262</v>
      </c>
      <c r="AN253" s="100" t="s">
        <v>238</v>
      </c>
    </row>
    <row r="254" spans="1:40" ht="15.75">
      <c r="B254" s="15">
        <f t="shared" si="5"/>
        <v>47175</v>
      </c>
      <c r="C254" s="92" t="s">
        <v>350</v>
      </c>
      <c r="AH254" s="98" t="s">
        <v>333</v>
      </c>
      <c r="AI254" s="166"/>
      <c r="AJ254" s="100" t="s">
        <v>281</v>
      </c>
      <c r="AL254" s="183" t="s">
        <v>265</v>
      </c>
      <c r="AN254" s="169" t="s">
        <v>246</v>
      </c>
    </row>
    <row r="255" spans="1:40" ht="15.75">
      <c r="B255" s="15">
        <f t="shared" si="5"/>
        <v>47182</v>
      </c>
      <c r="C255" s="92" t="s">
        <v>274</v>
      </c>
      <c r="AH255" s="98" t="s">
        <v>333</v>
      </c>
      <c r="AI255" s="166"/>
      <c r="AJ255" s="103" t="s">
        <v>286</v>
      </c>
      <c r="AL255" s="103" t="s">
        <v>265</v>
      </c>
      <c r="AN255" s="170" t="s">
        <v>246</v>
      </c>
    </row>
    <row r="256" spans="1:40" ht="15.75">
      <c r="B256" s="15">
        <f t="shared" si="5"/>
        <v>47189</v>
      </c>
      <c r="C256" s="92" t="s">
        <v>280</v>
      </c>
      <c r="AH256" s="98" t="s">
        <v>334</v>
      </c>
      <c r="AI256" s="166"/>
      <c r="AJ256" s="103" t="s">
        <v>286</v>
      </c>
      <c r="AL256" s="103" t="s">
        <v>268</v>
      </c>
      <c r="AN256" s="168" t="s">
        <v>250</v>
      </c>
    </row>
    <row r="257" spans="1:54" ht="15.75">
      <c r="B257" s="15">
        <f t="shared" si="5"/>
        <v>47196</v>
      </c>
      <c r="C257" s="92" t="s">
        <v>284</v>
      </c>
      <c r="AH257" s="98" t="s">
        <v>334</v>
      </c>
      <c r="AI257" s="166"/>
      <c r="AJ257" s="103" t="s">
        <v>290</v>
      </c>
      <c r="AL257" s="103" t="s">
        <v>268</v>
      </c>
      <c r="AN257" s="103" t="s">
        <v>250</v>
      </c>
    </row>
    <row r="258" spans="1:54" ht="15.75">
      <c r="B258" s="15">
        <f t="shared" si="5"/>
        <v>47203</v>
      </c>
      <c r="C258" s="92" t="s">
        <v>289</v>
      </c>
      <c r="AH258" s="98" t="s">
        <v>336</v>
      </c>
      <c r="AI258" s="166"/>
      <c r="AJ258" s="169" t="s">
        <v>290</v>
      </c>
      <c r="AL258" s="103" t="s">
        <v>272</v>
      </c>
      <c r="AN258" s="99" t="s">
        <v>254</v>
      </c>
    </row>
    <row r="259" spans="1:54" ht="15.75">
      <c r="B259" s="15">
        <f t="shared" si="5"/>
        <v>47210</v>
      </c>
      <c r="C259" s="92" t="s">
        <v>292</v>
      </c>
      <c r="AH259" s="122" t="s">
        <v>336</v>
      </c>
      <c r="AI259" s="166"/>
      <c r="AJ259" s="106" t="s">
        <v>331</v>
      </c>
      <c r="AL259" s="169" t="s">
        <v>272</v>
      </c>
      <c r="AN259" s="99" t="s">
        <v>254</v>
      </c>
    </row>
    <row r="260" spans="1:54" ht="15.75">
      <c r="B260" s="15">
        <f t="shared" si="5"/>
        <v>47217</v>
      </c>
      <c r="C260" s="92" t="s">
        <v>351</v>
      </c>
      <c r="AH260" s="123" t="s">
        <v>337</v>
      </c>
      <c r="AI260" s="166"/>
      <c r="AJ260" s="99" t="s">
        <v>331</v>
      </c>
      <c r="AL260" s="106" t="s">
        <v>276</v>
      </c>
      <c r="AN260" s="100" t="s">
        <v>259</v>
      </c>
    </row>
    <row r="261" spans="1:54" ht="15.75">
      <c r="B261" s="15">
        <f t="shared" si="5"/>
        <v>47224</v>
      </c>
      <c r="C261" s="92" t="s">
        <v>352</v>
      </c>
      <c r="AH261" s="98" t="s">
        <v>337</v>
      </c>
      <c r="AI261" s="166"/>
      <c r="AJ261" s="100" t="s">
        <v>332</v>
      </c>
      <c r="AL261" s="99" t="s">
        <v>276</v>
      </c>
      <c r="AN261" s="100" t="s">
        <v>259</v>
      </c>
    </row>
    <row r="262" spans="1:54" ht="15.75">
      <c r="B262" s="15">
        <f t="shared" si="5"/>
        <v>47231</v>
      </c>
      <c r="C262" s="92" t="s">
        <v>353</v>
      </c>
      <c r="AH262" s="99" t="s">
        <v>338</v>
      </c>
      <c r="AI262" s="173"/>
      <c r="AJ262" s="100" t="s">
        <v>332</v>
      </c>
      <c r="AL262" s="100" t="s">
        <v>281</v>
      </c>
      <c r="AN262" s="103" t="s">
        <v>262</v>
      </c>
    </row>
    <row r="263" spans="1:54" ht="15.75">
      <c r="B263" s="15">
        <f t="shared" si="5"/>
        <v>47238</v>
      </c>
      <c r="C263" s="92" t="s">
        <v>302</v>
      </c>
      <c r="AH263" s="99" t="s">
        <v>338</v>
      </c>
      <c r="AI263" s="173"/>
      <c r="AJ263" s="103" t="s">
        <v>333</v>
      </c>
      <c r="AL263" s="100" t="s">
        <v>281</v>
      </c>
      <c r="AN263" s="103" t="s">
        <v>262</v>
      </c>
    </row>
    <row r="264" spans="1:54" ht="15.75">
      <c r="B264" s="15">
        <f t="shared" si="5"/>
        <v>47245</v>
      </c>
      <c r="C264" s="92" t="s">
        <v>303</v>
      </c>
      <c r="AH264" s="100" t="s">
        <v>339</v>
      </c>
      <c r="AI264" s="173"/>
      <c r="AJ264" s="103" t="s">
        <v>333</v>
      </c>
      <c r="AL264" s="103" t="s">
        <v>286</v>
      </c>
      <c r="AN264" s="183" t="s">
        <v>265</v>
      </c>
    </row>
    <row r="265" spans="1:54" ht="15.75">
      <c r="B265" s="15">
        <f t="shared" si="5"/>
        <v>47252</v>
      </c>
      <c r="C265" s="92" t="s">
        <v>354</v>
      </c>
      <c r="AH265" s="100" t="s">
        <v>339</v>
      </c>
      <c r="AI265" s="173"/>
      <c r="AJ265" s="103" t="s">
        <v>334</v>
      </c>
      <c r="AL265" s="103" t="s">
        <v>286</v>
      </c>
      <c r="AN265" s="103" t="s">
        <v>265</v>
      </c>
    </row>
    <row r="266" spans="1:54" ht="15.75">
      <c r="B266" s="15">
        <f t="shared" si="5"/>
        <v>47259</v>
      </c>
      <c r="C266" s="92" t="s">
        <v>305</v>
      </c>
      <c r="AH266" s="99" t="s">
        <v>340</v>
      </c>
      <c r="AI266" s="173"/>
      <c r="AJ266" s="103" t="s">
        <v>334</v>
      </c>
      <c r="AL266" s="103" t="s">
        <v>290</v>
      </c>
      <c r="AN266" s="103" t="s">
        <v>268</v>
      </c>
    </row>
    <row r="267" spans="1:54" ht="15.75">
      <c r="B267" s="15">
        <f t="shared" si="5"/>
        <v>47266</v>
      </c>
      <c r="C267" s="92" t="s">
        <v>355</v>
      </c>
      <c r="AH267" s="107" t="s">
        <v>340</v>
      </c>
      <c r="AI267" s="173"/>
      <c r="AJ267" s="103" t="s">
        <v>336</v>
      </c>
      <c r="AL267" s="169" t="s">
        <v>290</v>
      </c>
      <c r="AN267" s="103" t="s">
        <v>268</v>
      </c>
    </row>
    <row r="268" spans="1:54" ht="15.75">
      <c r="B268" s="15">
        <f t="shared" si="5"/>
        <v>47273</v>
      </c>
      <c r="C268" s="92" t="s">
        <v>309</v>
      </c>
      <c r="AJ268" s="169" t="s">
        <v>336</v>
      </c>
      <c r="AL268" s="106" t="s">
        <v>331</v>
      </c>
      <c r="AN268" s="103" t="s">
        <v>272</v>
      </c>
    </row>
    <row r="269" spans="1:54">
      <c r="A269" s="262" t="s">
        <v>311</v>
      </c>
      <c r="B269" s="15">
        <f>B268+7</f>
        <v>47280</v>
      </c>
      <c r="C269" s="92" t="s">
        <v>312</v>
      </c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7"/>
      <c r="AK269" s="207"/>
      <c r="AM269" s="207"/>
      <c r="AO269" s="207"/>
      <c r="AP269" s="207"/>
      <c r="AQ269" s="207"/>
      <c r="AR269" s="207"/>
      <c r="AS269" s="207"/>
      <c r="AT269" s="207"/>
      <c r="AU269" s="207"/>
      <c r="AV269" s="207"/>
      <c r="AW269" s="207"/>
      <c r="AX269" s="207"/>
      <c r="AY269" s="207"/>
      <c r="AZ269" s="207"/>
      <c r="BA269" s="207"/>
      <c r="BB269" s="207"/>
    </row>
    <row r="270" spans="1:54">
      <c r="A270" s="263"/>
      <c r="B270" s="15">
        <f t="shared" si="5"/>
        <v>47287</v>
      </c>
      <c r="C270" s="92" t="s">
        <v>356</v>
      </c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7"/>
      <c r="AK270" s="207"/>
      <c r="AL270" s="207"/>
      <c r="AM270" s="207"/>
      <c r="AN270" s="207"/>
      <c r="AO270" s="207"/>
      <c r="AP270" s="207"/>
      <c r="AQ270" s="207"/>
      <c r="AR270" s="207"/>
      <c r="AS270" s="207"/>
      <c r="AT270" s="207"/>
      <c r="AU270" s="207"/>
      <c r="AV270" s="207"/>
      <c r="AW270" s="207"/>
      <c r="AX270" s="207"/>
      <c r="AY270" s="207"/>
      <c r="AZ270" s="207"/>
      <c r="BA270" s="207"/>
      <c r="BB270" s="207"/>
    </row>
    <row r="271" spans="1:54">
      <c r="A271" s="263"/>
      <c r="B271" s="15">
        <f t="shared" si="5"/>
        <v>47294</v>
      </c>
      <c r="C271" s="92" t="s">
        <v>357</v>
      </c>
      <c r="Z271" s="207"/>
      <c r="AA271" s="207"/>
      <c r="AB271" s="207"/>
      <c r="AC271" s="207"/>
      <c r="AD271" s="207"/>
      <c r="AE271" s="207"/>
      <c r="AF271" s="207"/>
      <c r="AG271" s="207"/>
      <c r="AH271" s="207"/>
      <c r="AI271" s="207"/>
      <c r="AJ271" s="207"/>
      <c r="AK271" s="207"/>
      <c r="AL271" s="207"/>
      <c r="AM271" s="207"/>
      <c r="AN271" s="207"/>
      <c r="AO271" s="207"/>
      <c r="AP271" s="207"/>
      <c r="AQ271" s="207"/>
      <c r="AR271" s="207"/>
      <c r="AS271" s="207"/>
      <c r="AT271" s="207"/>
      <c r="AU271" s="207"/>
      <c r="AV271" s="207"/>
      <c r="AW271" s="207"/>
      <c r="AX271" s="207"/>
      <c r="AY271" s="207"/>
      <c r="AZ271" s="207"/>
      <c r="BA271" s="207"/>
      <c r="BB271" s="207"/>
    </row>
    <row r="272" spans="1:54">
      <c r="A272" s="263"/>
      <c r="B272" s="15">
        <f t="shared" si="5"/>
        <v>47301</v>
      </c>
      <c r="C272" s="92" t="s">
        <v>358</v>
      </c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7"/>
      <c r="AK272" s="207"/>
      <c r="AL272" s="207"/>
      <c r="AM272" s="207"/>
      <c r="AN272" s="207"/>
      <c r="AO272" s="207"/>
      <c r="AP272" s="207"/>
      <c r="AQ272" s="207"/>
      <c r="AR272" s="207"/>
      <c r="AS272" s="207"/>
      <c r="AT272" s="207"/>
      <c r="AU272" s="207"/>
      <c r="AV272" s="207"/>
      <c r="AW272" s="207"/>
      <c r="AX272" s="207"/>
      <c r="AY272" s="207"/>
      <c r="AZ272" s="207"/>
      <c r="BA272" s="207"/>
      <c r="BB272" s="207"/>
    </row>
    <row r="273" spans="1:54">
      <c r="A273" s="263"/>
      <c r="B273" s="15">
        <f t="shared" si="5"/>
        <v>47308</v>
      </c>
      <c r="C273" s="92" t="s">
        <v>359</v>
      </c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7"/>
      <c r="AK273" s="207"/>
      <c r="AL273" s="207"/>
      <c r="AM273" s="207"/>
      <c r="AN273" s="207"/>
      <c r="AO273" s="207"/>
      <c r="AP273" s="207"/>
      <c r="AQ273" s="207"/>
      <c r="AR273" s="207"/>
      <c r="AS273" s="207"/>
      <c r="AT273" s="207"/>
      <c r="AU273" s="207"/>
      <c r="AV273" s="207"/>
      <c r="AW273" s="207"/>
      <c r="AX273" s="207"/>
      <c r="AY273" s="207"/>
      <c r="AZ273" s="207"/>
      <c r="BA273" s="207"/>
      <c r="BB273" s="207"/>
    </row>
    <row r="274" spans="1:54">
      <c r="A274" s="263"/>
      <c r="B274" s="15">
        <f t="shared" si="5"/>
        <v>47315</v>
      </c>
      <c r="C274" s="92" t="s">
        <v>317</v>
      </c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7"/>
      <c r="AK274" s="207"/>
      <c r="AL274" s="207"/>
      <c r="AM274" s="207"/>
      <c r="AN274" s="207"/>
      <c r="AO274" s="207"/>
      <c r="AP274" s="207"/>
      <c r="AQ274" s="207"/>
      <c r="AR274" s="207"/>
      <c r="AS274" s="207"/>
      <c r="AT274" s="207"/>
      <c r="AU274" s="207"/>
      <c r="AV274" s="207"/>
      <c r="AW274" s="207"/>
      <c r="AX274" s="207"/>
      <c r="AY274" s="207"/>
      <c r="AZ274" s="207"/>
      <c r="BA274" s="207"/>
      <c r="BB274" s="207"/>
    </row>
    <row r="275" spans="1:54">
      <c r="A275" s="263"/>
      <c r="B275" s="15">
        <f t="shared" si="5"/>
        <v>47322</v>
      </c>
      <c r="C275" s="92" t="s">
        <v>360</v>
      </c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7"/>
      <c r="AK275" s="207"/>
      <c r="AL275" s="207"/>
      <c r="AM275" s="207"/>
      <c r="AN275" s="207"/>
      <c r="AO275" s="207"/>
      <c r="AP275" s="207"/>
      <c r="AQ275" s="207"/>
      <c r="AR275" s="207"/>
      <c r="AS275" s="207"/>
      <c r="AT275" s="207"/>
      <c r="AU275" s="207"/>
      <c r="AV275" s="207"/>
      <c r="AW275" s="207"/>
      <c r="AX275" s="207"/>
      <c r="AY275" s="207"/>
      <c r="AZ275" s="207"/>
      <c r="BA275" s="207"/>
      <c r="BB275" s="207"/>
    </row>
    <row r="276" spans="1:54">
      <c r="A276" s="263"/>
      <c r="B276" s="15">
        <f t="shared" si="5"/>
        <v>47329</v>
      </c>
      <c r="C276" s="92" t="s">
        <v>319</v>
      </c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7"/>
      <c r="AK276" s="207"/>
      <c r="AL276" s="207"/>
      <c r="AM276" s="207"/>
      <c r="AN276" s="207"/>
      <c r="AO276" s="207"/>
      <c r="AP276" s="207"/>
      <c r="AQ276" s="207"/>
      <c r="AR276" s="207"/>
      <c r="AS276" s="207"/>
      <c r="AT276" s="207"/>
      <c r="AU276" s="207"/>
      <c r="AV276" s="207"/>
      <c r="AW276" s="207"/>
      <c r="AX276" s="207"/>
      <c r="AY276" s="207"/>
      <c r="AZ276" s="207"/>
      <c r="BA276" s="207"/>
      <c r="BB276" s="207"/>
    </row>
    <row r="277" spans="1:54">
      <c r="A277" s="264"/>
      <c r="B277" s="15">
        <f t="shared" si="5"/>
        <v>47336</v>
      </c>
      <c r="C277" s="92" t="s">
        <v>320</v>
      </c>
      <c r="Z277" s="207"/>
      <c r="AA277" s="207"/>
      <c r="AB277" s="207"/>
      <c r="AC277" s="207"/>
      <c r="AD277" s="207"/>
      <c r="AE277" s="207"/>
      <c r="AF277" s="207"/>
      <c r="AG277" s="207"/>
      <c r="AH277" s="207"/>
      <c r="AI277" s="207"/>
      <c r="AJ277" s="207"/>
      <c r="AK277" s="207"/>
      <c r="AL277" s="207"/>
      <c r="AM277" s="207"/>
      <c r="AN277" s="207"/>
      <c r="AO277" s="207"/>
      <c r="AP277" s="207"/>
      <c r="AQ277" s="207"/>
      <c r="AR277" s="207"/>
      <c r="AS277" s="207"/>
      <c r="AT277" s="207"/>
      <c r="AU277" s="207"/>
      <c r="AV277" s="207"/>
      <c r="AW277" s="207"/>
      <c r="AX277" s="207"/>
      <c r="AY277" s="207"/>
      <c r="AZ277" s="207"/>
      <c r="BA277" s="207"/>
      <c r="BB277" s="207"/>
    </row>
    <row r="278" spans="1:54" ht="15.75">
      <c r="A278" s="26" t="s">
        <v>88</v>
      </c>
      <c r="B278" s="15">
        <f t="shared" si="5"/>
        <v>47343</v>
      </c>
      <c r="C278" s="92" t="s">
        <v>89</v>
      </c>
      <c r="AJ278" s="171" t="s">
        <v>337</v>
      </c>
      <c r="AL278" s="99" t="s">
        <v>331</v>
      </c>
      <c r="AN278" s="169" t="s">
        <v>272</v>
      </c>
    </row>
    <row r="279" spans="1:54" ht="15.75">
      <c r="B279" s="15">
        <f t="shared" si="5"/>
        <v>47350</v>
      </c>
      <c r="C279" s="92" t="s">
        <v>109</v>
      </c>
      <c r="AJ279" s="103" t="s">
        <v>337</v>
      </c>
      <c r="AL279" s="100" t="s">
        <v>332</v>
      </c>
      <c r="AN279" s="106" t="s">
        <v>276</v>
      </c>
    </row>
    <row r="280" spans="1:54" ht="15.75">
      <c r="B280" s="15">
        <f t="shared" si="5"/>
        <v>47357</v>
      </c>
      <c r="C280" s="92" t="s">
        <v>120</v>
      </c>
      <c r="AJ280" s="99" t="s">
        <v>338</v>
      </c>
      <c r="AL280" s="100" t="s">
        <v>332</v>
      </c>
      <c r="AN280" s="99" t="s">
        <v>276</v>
      </c>
    </row>
    <row r="281" spans="1:54" ht="15.75">
      <c r="B281" s="15">
        <f t="shared" si="5"/>
        <v>47364</v>
      </c>
      <c r="C281" s="92" t="s">
        <v>136</v>
      </c>
      <c r="AJ281" s="99" t="s">
        <v>338</v>
      </c>
      <c r="AL281" s="103" t="s">
        <v>333</v>
      </c>
      <c r="AN281" s="100" t="s">
        <v>281</v>
      </c>
    </row>
    <row r="282" spans="1:54" ht="15.75">
      <c r="B282" s="15">
        <f t="shared" si="5"/>
        <v>47371</v>
      </c>
      <c r="C282" s="92" t="s">
        <v>146</v>
      </c>
      <c r="AJ282" s="100" t="s">
        <v>339</v>
      </c>
      <c r="AL282" s="103" t="s">
        <v>333</v>
      </c>
      <c r="AN282" s="100" t="s">
        <v>281</v>
      </c>
    </row>
    <row r="283" spans="1:54" ht="15.75">
      <c r="B283" s="15">
        <f t="shared" si="5"/>
        <v>47378</v>
      </c>
      <c r="C283" s="92" t="s">
        <v>158</v>
      </c>
      <c r="AJ283" s="100" t="s">
        <v>339</v>
      </c>
      <c r="AL283" s="103" t="s">
        <v>334</v>
      </c>
      <c r="AN283" s="103" t="s">
        <v>286</v>
      </c>
    </row>
    <row r="284" spans="1:54" ht="15.75">
      <c r="B284" s="15">
        <f t="shared" si="5"/>
        <v>47385</v>
      </c>
      <c r="C284" s="92" t="s">
        <v>166</v>
      </c>
      <c r="AJ284" s="99" t="s">
        <v>340</v>
      </c>
      <c r="AL284" s="103" t="s">
        <v>334</v>
      </c>
      <c r="AN284" s="103" t="s">
        <v>286</v>
      </c>
    </row>
    <row r="285" spans="1:54" ht="15.75">
      <c r="B285" s="15">
        <f t="shared" si="5"/>
        <v>47392</v>
      </c>
      <c r="C285" s="92" t="s">
        <v>178</v>
      </c>
      <c r="AJ285" s="107" t="s">
        <v>340</v>
      </c>
      <c r="AL285" s="103" t="s">
        <v>336</v>
      </c>
      <c r="AN285" s="103" t="s">
        <v>290</v>
      </c>
    </row>
    <row r="286" spans="1:54" ht="15.75">
      <c r="B286" s="15">
        <f t="shared" si="5"/>
        <v>47399</v>
      </c>
      <c r="C286" s="92" t="s">
        <v>186</v>
      </c>
      <c r="AL286" s="169" t="s">
        <v>336</v>
      </c>
      <c r="AN286" s="169" t="s">
        <v>290</v>
      </c>
    </row>
    <row r="287" spans="1:54" ht="15.75">
      <c r="A287" s="26" t="s">
        <v>197</v>
      </c>
      <c r="B287" s="15">
        <f t="shared" si="5"/>
        <v>47406</v>
      </c>
      <c r="C287" s="92" t="s">
        <v>198</v>
      </c>
      <c r="AL287" s="171" t="s">
        <v>337</v>
      </c>
      <c r="AN287" s="106" t="s">
        <v>331</v>
      </c>
    </row>
    <row r="288" spans="1:54" ht="15.75">
      <c r="B288" s="15">
        <f t="shared" si="5"/>
        <v>47413</v>
      </c>
      <c r="C288" s="92" t="s">
        <v>203</v>
      </c>
      <c r="AL288" s="103" t="s">
        <v>337</v>
      </c>
      <c r="AN288" s="99" t="s">
        <v>331</v>
      </c>
    </row>
    <row r="289" spans="1:53" ht="15.75">
      <c r="B289" s="15">
        <f t="shared" si="5"/>
        <v>47420</v>
      </c>
      <c r="C289" s="92" t="s">
        <v>210</v>
      </c>
      <c r="AL289" s="99" t="s">
        <v>338</v>
      </c>
      <c r="AN289" s="100" t="s">
        <v>332</v>
      </c>
    </row>
    <row r="290" spans="1:53" ht="15.75">
      <c r="B290" s="15">
        <f t="shared" si="5"/>
        <v>47427</v>
      </c>
      <c r="C290" s="92" t="s">
        <v>214</v>
      </c>
      <c r="AL290" s="99" t="s">
        <v>338</v>
      </c>
      <c r="AN290" s="100" t="s">
        <v>332</v>
      </c>
    </row>
    <row r="291" spans="1:53" ht="15.75">
      <c r="B291" s="15">
        <f t="shared" si="5"/>
        <v>47434</v>
      </c>
      <c r="C291" s="92" t="s">
        <v>218</v>
      </c>
      <c r="AL291" s="100" t="s">
        <v>339</v>
      </c>
      <c r="AN291" s="103" t="s">
        <v>333</v>
      </c>
    </row>
    <row r="292" spans="1:53" ht="15.75">
      <c r="B292" s="15">
        <f t="shared" si="5"/>
        <v>47441</v>
      </c>
      <c r="C292" s="92" t="s">
        <v>221</v>
      </c>
      <c r="AL292" s="100" t="s">
        <v>339</v>
      </c>
      <c r="AN292" s="103" t="s">
        <v>333</v>
      </c>
    </row>
    <row r="293" spans="1:53" ht="15.75">
      <c r="B293" s="15">
        <f t="shared" si="5"/>
        <v>47448</v>
      </c>
      <c r="C293" s="92" t="s">
        <v>225</v>
      </c>
      <c r="AL293" s="99" t="s">
        <v>340</v>
      </c>
      <c r="AN293" s="103" t="s">
        <v>334</v>
      </c>
    </row>
    <row r="294" spans="1:53" ht="15.75">
      <c r="B294" s="15">
        <f t="shared" si="5"/>
        <v>47455</v>
      </c>
      <c r="C294" s="92" t="s">
        <v>228</v>
      </c>
      <c r="AL294" s="107" t="s">
        <v>340</v>
      </c>
      <c r="AN294" s="103" t="s">
        <v>334</v>
      </c>
    </row>
    <row r="295" spans="1:53" ht="15.75">
      <c r="B295" s="15">
        <f t="shared" si="5"/>
        <v>47462</v>
      </c>
      <c r="C295" s="92" t="s">
        <v>233</v>
      </c>
      <c r="AN295" s="103" t="s">
        <v>336</v>
      </c>
    </row>
    <row r="296" spans="1:53">
      <c r="A296" s="208" t="s">
        <v>240</v>
      </c>
      <c r="B296" s="15">
        <f t="shared" si="5"/>
        <v>47469</v>
      </c>
      <c r="C296" s="92" t="s">
        <v>237</v>
      </c>
      <c r="AG296" s="207"/>
      <c r="AH296" s="207"/>
      <c r="AI296" s="207"/>
      <c r="AJ296" s="207"/>
      <c r="AK296" s="207"/>
      <c r="AL296" s="207"/>
      <c r="AM296" s="207"/>
      <c r="AN296" s="207"/>
      <c r="AO296" s="207"/>
      <c r="AP296" s="207"/>
      <c r="AQ296" s="207"/>
      <c r="AR296" s="207"/>
      <c r="AS296" s="207"/>
      <c r="AT296" s="207"/>
      <c r="AU296" s="207"/>
      <c r="AV296" s="207"/>
      <c r="AW296" s="207"/>
      <c r="AX296" s="207"/>
      <c r="AY296" s="207"/>
      <c r="AZ296" s="207"/>
      <c r="BA296" s="207"/>
    </row>
    <row r="297" spans="1:53">
      <c r="A297" s="208"/>
      <c r="B297" s="15">
        <f t="shared" si="5"/>
        <v>47476</v>
      </c>
      <c r="C297" s="210" t="s">
        <v>241</v>
      </c>
      <c r="AG297" s="207"/>
      <c r="AH297" s="207"/>
      <c r="AI297" s="207"/>
      <c r="AJ297" s="207"/>
      <c r="AK297" s="207"/>
      <c r="AL297" s="207"/>
      <c r="AM297" s="207"/>
      <c r="AN297" s="207"/>
      <c r="AO297" s="207"/>
      <c r="AP297" s="207"/>
      <c r="AQ297" s="207"/>
      <c r="AR297" s="207"/>
      <c r="AS297" s="207"/>
      <c r="AT297" s="207"/>
      <c r="AU297" s="207"/>
      <c r="AV297" s="207"/>
      <c r="AW297" s="207"/>
      <c r="AX297" s="207"/>
      <c r="AY297" s="207"/>
      <c r="AZ297" s="207"/>
      <c r="BA297" s="207"/>
    </row>
    <row r="298" spans="1:53" ht="15.75">
      <c r="B298" s="209">
        <f t="shared" si="5"/>
        <v>47483</v>
      </c>
      <c r="C298" s="92" t="s">
        <v>342</v>
      </c>
      <c r="AN298" s="169" t="s">
        <v>336</v>
      </c>
    </row>
    <row r="299" spans="1:53" ht="15.75">
      <c r="B299" s="15">
        <f t="shared" si="5"/>
        <v>47490</v>
      </c>
      <c r="C299" s="92" t="s">
        <v>343</v>
      </c>
      <c r="AN299" s="171" t="s">
        <v>337</v>
      </c>
    </row>
    <row r="300" spans="1:53" ht="15.75">
      <c r="B300" s="15">
        <f t="shared" si="5"/>
        <v>47497</v>
      </c>
      <c r="C300" s="92" t="s">
        <v>344</v>
      </c>
      <c r="AN300" s="103" t="s">
        <v>337</v>
      </c>
    </row>
    <row r="301" spans="1:53" ht="15.75">
      <c r="B301" s="15">
        <f t="shared" si="5"/>
        <v>47504</v>
      </c>
      <c r="C301" s="92" t="s">
        <v>345</v>
      </c>
      <c r="AN301" s="99" t="s">
        <v>338</v>
      </c>
    </row>
    <row r="302" spans="1:53" ht="15.75">
      <c r="B302" s="15">
        <f t="shared" si="5"/>
        <v>47511</v>
      </c>
      <c r="C302" s="92" t="s">
        <v>346</v>
      </c>
      <c r="AN302" s="99" t="s">
        <v>338</v>
      </c>
    </row>
    <row r="303" spans="1:53" ht="15.75">
      <c r="B303" s="15">
        <f t="shared" si="5"/>
        <v>47518</v>
      </c>
      <c r="C303" s="92" t="s">
        <v>347</v>
      </c>
      <c r="AN303" s="100" t="s">
        <v>339</v>
      </c>
    </row>
    <row r="304" spans="1:53" ht="15.75">
      <c r="B304" s="15">
        <f t="shared" si="5"/>
        <v>47525</v>
      </c>
      <c r="C304" s="92" t="s">
        <v>348</v>
      </c>
      <c r="AN304" s="100" t="s">
        <v>339</v>
      </c>
    </row>
    <row r="305" spans="2:40" ht="15.75">
      <c r="B305" s="15">
        <f t="shared" si="5"/>
        <v>47532</v>
      </c>
      <c r="C305" s="92" t="s">
        <v>349</v>
      </c>
      <c r="AN305" s="99" t="s">
        <v>340</v>
      </c>
    </row>
    <row r="306" spans="2:40" ht="15.75">
      <c r="B306" s="15">
        <f t="shared" si="5"/>
        <v>47539</v>
      </c>
      <c r="C306" s="92" t="s">
        <v>350</v>
      </c>
      <c r="AN306" s="107" t="s">
        <v>340</v>
      </c>
    </row>
    <row r="307" spans="2:40">
      <c r="B307" s="15">
        <f t="shared" si="5"/>
        <v>47546</v>
      </c>
      <c r="C307" s="92" t="s">
        <v>274</v>
      </c>
    </row>
  </sheetData>
  <mergeCells count="27">
    <mergeCell ref="AK9:AR9"/>
    <mergeCell ref="A269:A277"/>
    <mergeCell ref="AC9:AJ9"/>
    <mergeCell ref="I9:L9"/>
    <mergeCell ref="A60:A68"/>
    <mergeCell ref="A217:A225"/>
    <mergeCell ref="A244:A245"/>
    <mergeCell ref="A192:A193"/>
    <mergeCell ref="A165:A173"/>
    <mergeCell ref="A140:A141"/>
    <mergeCell ref="A112:A120"/>
    <mergeCell ref="A88:A89"/>
    <mergeCell ref="A36:A37"/>
    <mergeCell ref="Z1:AB2"/>
    <mergeCell ref="Z4:AB6"/>
    <mergeCell ref="A1:C1"/>
    <mergeCell ref="A2:C2"/>
    <mergeCell ref="B14:C14"/>
    <mergeCell ref="A3:C3"/>
    <mergeCell ref="W1:Y2"/>
    <mergeCell ref="W4:Y6"/>
    <mergeCell ref="D4:U5"/>
    <mergeCell ref="F2:G2"/>
    <mergeCell ref="F3:G3"/>
    <mergeCell ref="U9:AB9"/>
    <mergeCell ref="M9:T9"/>
    <mergeCell ref="E9:H9"/>
  </mergeCells>
  <phoneticPr fontId="4" type="noConversion"/>
  <conditionalFormatting sqref="A102">
    <cfRule type="containsText" dxfId="887" priority="1084" operator="containsText" text="0. INTRO">
      <formula>NOT(ISERROR(SEARCH("0. INTRO",A102)))</formula>
    </cfRule>
    <cfRule type="containsText" dxfId="886" priority="1085" stopIfTrue="1" operator="containsText" text="0.INTRO">
      <formula>NOT(ISERROR(SEARCH("0.INTRO",A102)))</formula>
    </cfRule>
  </conditionalFormatting>
  <conditionalFormatting sqref="A112">
    <cfRule type="containsText" dxfId="885" priority="1086" operator="containsText" text="0. INTRO">
      <formula>NOT(ISERROR(SEARCH("0. INTRO",A112)))</formula>
    </cfRule>
    <cfRule type="containsText" dxfId="884" priority="1087" stopIfTrue="1" operator="containsText" text="0.INTRO">
      <formula>NOT(ISERROR(SEARCH("0.INTRO",A112)))</formula>
    </cfRule>
  </conditionalFormatting>
  <conditionalFormatting sqref="A153">
    <cfRule type="containsText" dxfId="883" priority="1090" operator="containsText" text="0. INTRO">
      <formula>NOT(ISERROR(SEARCH("0. INTRO",A153)))</formula>
    </cfRule>
    <cfRule type="containsText" dxfId="882" priority="1091" stopIfTrue="1" operator="containsText" text="0.INTRO">
      <formula>NOT(ISERROR(SEARCH("0.INTRO",A153)))</formula>
    </cfRule>
  </conditionalFormatting>
  <conditionalFormatting sqref="A165">
    <cfRule type="containsText" dxfId="881" priority="1088" operator="containsText" text="0. INTRO">
      <formula>NOT(ISERROR(SEARCH("0. INTRO",A165)))</formula>
    </cfRule>
    <cfRule type="containsText" dxfId="880" priority="1089" stopIfTrue="1" operator="containsText" text="0.INTRO">
      <formula>NOT(ISERROR(SEARCH("0.INTRO",A165)))</formula>
    </cfRule>
  </conditionalFormatting>
  <conditionalFormatting sqref="A208">
    <cfRule type="expression" dxfId="879" priority="1008">
      <formula>in_week</formula>
    </cfRule>
  </conditionalFormatting>
  <conditionalFormatting sqref="B53:F59 G53:G57 B38:E46 G38:AI46 F38:F45 AG52:AI60 AF90:AF98 B60:O61 W90:W97 H53:AF53 H54:O59 Q54:AF59 Q60:AD61 Q97:S98 B121:O152 B52:AD52 P141:P150 P54:P61 Q88:AE89 B244:AE252 AF244:AF253 AF192:AF216 AF153:AF161 B153:AE153 Y154:AE154 B192:AE193 B204:AE215 B194:W203 Y194:AE203 X194:X202 Y142:AD150 AE142:AE149 AF142:AF150 Y151:AF152 B112:AG114 AG192:AG193 AG194:AH208 AG209:AG215 AH209:AH216 B226:AH243 AG244:AI249 AG252 AH252:AH267 B216:AG225 AH217:AI225 B47:AI51 Y155:AF164 AH153:AH164 B165:AH173 AG153:AG163 AK153:AN153 B62:AG68 AI153:AI173 B182:AH191 AG90:AJ101 AG142:AJ152 AJ194:AJ207 AJ209:AJ243 AJ244:AK245 AJ153:AJ191 B115:AJ120 AH88:AJ89 AG250:AH251 AI250:AI267 AG61 AH61:AI68 B69:AH77 X90:AE92 X93:AF98 B78:AJ87 P90:V93 P94:S96 T94:V98 Q99:AF101 Q142:X152 B154:X164 B174:AI181 Q141:AP141 Q102:AT102 Q103:AL111 P121:AL139 AL194:AL207 AJ278:AJ285 AJ246:AJ268 Q140:AL140 AN140:AP140 AM142:AM150 AM189:AM191 AN183:AN191 AM194:AN194 AN204:AN207 AN209:AN216 AL209:AL216 AL226:AL243 AL255:AL268 AL278:AL294 AN226:AN243 AN266:AN268 AN278:AN295 AM135:AM140 AL165:AL173 AN163:AN174 AK165:AK183 AM166:AM173 AI208:AN208 AK217:AN225 B17:AI37 B15:AF16 B88:O111 P95:P111 AQ140:AU141">
    <cfRule type="expression" dxfId="878" priority="1370" stopIfTrue="1">
      <formula>in_week</formula>
    </cfRule>
  </conditionalFormatting>
  <conditionalFormatting sqref="B18:C101 B102 B103:C252">
    <cfRule type="expression" dxfId="877" priority="1364">
      <formula>in_week</formula>
    </cfRule>
  </conditionalFormatting>
  <conditionalFormatting sqref="D244:AE245 AF246:AF247 AG244:AK245">
    <cfRule type="expression" dxfId="876" priority="1002">
      <formula>in_week</formula>
    </cfRule>
    <cfRule type="expression" dxfId="875" priority="1003" stopIfTrue="1">
      <formula>in_week</formula>
    </cfRule>
  </conditionalFormatting>
  <conditionalFormatting sqref="E8:AD8">
    <cfRule type="containsText" dxfId="874" priority="1092" operator="containsText" text="X">
      <formula>NOT(ISERROR(SEARCH("X",E8)))</formula>
    </cfRule>
  </conditionalFormatting>
  <conditionalFormatting sqref="F36:F37">
    <cfRule type="expression" dxfId="873" priority="1126" stopIfTrue="1">
      <formula>in_week</formula>
    </cfRule>
  </conditionalFormatting>
  <conditionalFormatting sqref="F140:F141">
    <cfRule type="expression" dxfId="872" priority="1125" stopIfTrue="1">
      <formula>in_week</formula>
    </cfRule>
  </conditionalFormatting>
  <conditionalFormatting sqref="F153">
    <cfRule type="expression" dxfId="871" priority="1124" stopIfTrue="1">
      <formula>in_week</formula>
    </cfRule>
  </conditionalFormatting>
  <conditionalFormatting sqref="F165:F173">
    <cfRule type="expression" dxfId="870" priority="1123" stopIfTrue="1">
      <formula>in_week</formula>
    </cfRule>
  </conditionalFormatting>
  <conditionalFormatting sqref="F192:F193">
    <cfRule type="expression" dxfId="869" priority="1102" stopIfTrue="1">
      <formula>in_week</formula>
    </cfRule>
  </conditionalFormatting>
  <conditionalFormatting sqref="L17:P20 T17:AF25 Q17:S68 N21:P37 L21:M78 AC26:AF34 T26:AB35 U36:Z36 AA36:AB89 T37:Z37 O38:P46 AC38:AD52 AD53:AD58 AC53:AC59 S69:S78 K79:M79 AD79:AF80 AC79:AC87 V80:V85 U80:U87 S88:T93 AD84:AD87 W88:Z89 U112:Y112 L131:L207 N140:N207 AC142:AC151 AD143:AD164 AC153:AC163 AE155:AF161 R164:R207 AB216:AF216 I209:AA217 AE217:AF222 AC226:AD227 AB226:AB233 AC228:AC231 AD228:AD243 D53:F59 H53:H59 G53:G57 D47:H52 D38:E46 G38:H46 F38:F45 D17:H37 AG52:AM52 AC60:AD61 AC88:AD89 AD93:AF98 AC62:AF78 AD90:AE92 AD81:AE83 AD99:AD101 AE103:AF103 AE151 AE39:AF59 AE78:AF87 S79:V79 U69:V78 W69:W86 P153:P207 P149:P150 I208:AE208 AF104:AF111 AE153:AE154 AF142:AF152 AC165:AE165 AE162:AE163 AC166:AF190 AF182:AF191 AB209:AE215 AF234:AF243 AF246:AF253 AF194:AF216 U113:Z120 X111 Y130:AB139 Y121:Z129 U140:AE141 U121:X139 U192:AE193 U142:AB191 U204:AE207 U194:W203 Y194:AE203 X194:X202 X69:X87 AC113:AF120 AC121:AD121 AE112:AF112 AD122:AD139 AF121:AF139 AE121:AE137 AF154:AF165 AG83:AG87 AF90:AG101 AH121:AH139 AH142:AH152 AH154:AH163 AH188:AH191 AH194:AH207 AH209:AH216 AH226:AH239 U38:Z68 AI78:AI87 AI90:AI101 AI151:AI152 AJ83:AJ87 AJ90:AJ91 AJ99:AJ101 AJ121:AJ139 AJ142:AJ152 AI154:AJ162 AJ163:AJ164 AJ185:AJ191 AJ194:AJ207 AJ209:AJ216 AJ226:AJ243 AJ246:AJ250 T36:T78 AB90:AB101 S80:S87 S99:T102 S94:S98 S111:T207 S103:S110 AH103:AK111 AL110:AL111 AK121:AL130 AJ174:AK181 AK165 AJ261:AJ268 AN163:AN164 AN174 AN183:AN191 AN194 AN206:AN207 AN209:AN216 AL209:AL216 AL226:AL243 AL268 AL278:AL286 AN226:AN243 AN266:AN268 AN278 AG208:AN208 O47:O207 Q69:Q207 L80:L129 M80:M207 U88:V111 Z90:Z112 D60:H217 I17:K207">
    <cfRule type="containsText" dxfId="868" priority="1122" stopIfTrue="1" operator="containsText" text="0.INTRO">
      <formula>NOT(ISERROR(SEARCH("0.INTRO",D17)))</formula>
    </cfRule>
  </conditionalFormatting>
  <conditionalFormatting sqref="N38:N39 X90:Y98 W87 W90:W97 AE99:AE101 AE103 W99:Y102 W103:W111 Y103:Y111 X103:X110 AE121:AE128 AE112 AE142:AE149 AE139 AG151:AG152 AG154 AG159:AG163 AI134:AI139 AI142:AI143 AN164 AN174">
    <cfRule type="containsText" dxfId="867" priority="1030" operator="containsText" text="0. INTRO">
      <formula>NOT(ISERROR(SEARCH("0. INTRO",N38)))</formula>
    </cfRule>
    <cfRule type="containsText" dxfId="866" priority="1031" stopIfTrue="1" operator="containsText" text="0.INTRO">
      <formula>NOT(ISERROR(SEARCH("0.INTRO",N38)))</formula>
    </cfRule>
    <cfRule type="expression" dxfId="865" priority="1032" stopIfTrue="1">
      <formula>in_week</formula>
    </cfRule>
  </conditionalFormatting>
  <conditionalFormatting sqref="N52">
    <cfRule type="containsText" dxfId="864" priority="1081" operator="containsText" text="0. INTRO">
      <formula>NOT(ISERROR(SEARCH("0. INTRO",N52)))</formula>
    </cfRule>
    <cfRule type="containsText" dxfId="863" priority="1082" stopIfTrue="1" operator="containsText" text="0.INTRO">
      <formula>NOT(ISERROR(SEARCH("0.INTRO",N52)))</formula>
    </cfRule>
    <cfRule type="expression" dxfId="862" priority="1083" stopIfTrue="1">
      <formula>in_week</formula>
    </cfRule>
  </conditionalFormatting>
  <conditionalFormatting sqref="N60:N68">
    <cfRule type="containsText" dxfId="861" priority="1078" operator="containsText" text="0. INTRO">
      <formula>NOT(ISERROR(SEARCH("0. INTRO",N60)))</formula>
    </cfRule>
    <cfRule type="containsText" dxfId="860" priority="1079" stopIfTrue="1" operator="containsText" text="0.INTRO">
      <formula>NOT(ISERROR(SEARCH("0.INTRO",N60)))</formula>
    </cfRule>
    <cfRule type="expression" dxfId="859" priority="1080" stopIfTrue="1">
      <formula>in_week</formula>
    </cfRule>
  </conditionalFormatting>
  <conditionalFormatting sqref="N88:N89">
    <cfRule type="containsText" dxfId="858" priority="1075" operator="containsText" text="0. INTRO">
      <formula>NOT(ISERROR(SEARCH("0. INTRO",N88)))</formula>
    </cfRule>
    <cfRule type="containsText" dxfId="857" priority="1076" stopIfTrue="1" operator="containsText" text="0.INTRO">
      <formula>NOT(ISERROR(SEARCH("0.INTRO",N88)))</formula>
    </cfRule>
    <cfRule type="expression" dxfId="856" priority="1077" stopIfTrue="1">
      <formula>in_week</formula>
    </cfRule>
  </conditionalFormatting>
  <conditionalFormatting sqref="N102">
    <cfRule type="containsText" dxfId="855" priority="1072" operator="containsText" text="0. INTRO">
      <formula>NOT(ISERROR(SEARCH("0. INTRO",N102)))</formula>
    </cfRule>
    <cfRule type="containsText" dxfId="854" priority="1073" stopIfTrue="1" operator="containsText" text="0.INTRO">
      <formula>NOT(ISERROR(SEARCH("0.INTRO",N102)))</formula>
    </cfRule>
    <cfRule type="expression" dxfId="853" priority="1074" stopIfTrue="1">
      <formula>in_week</formula>
    </cfRule>
  </conditionalFormatting>
  <conditionalFormatting sqref="N112:N120">
    <cfRule type="containsText" dxfId="852" priority="1069" operator="containsText" text="0. INTRO">
      <formula>NOT(ISERROR(SEARCH("0. INTRO",N112)))</formula>
    </cfRule>
    <cfRule type="containsText" dxfId="851" priority="1070" stopIfTrue="1" operator="containsText" text="0.INTRO">
      <formula>NOT(ISERROR(SEARCH("0.INTRO",N112)))</formula>
    </cfRule>
    <cfRule type="expression" dxfId="850" priority="1071" stopIfTrue="1">
      <formula>in_week</formula>
    </cfRule>
  </conditionalFormatting>
  <conditionalFormatting sqref="P53">
    <cfRule type="containsText" dxfId="849" priority="1066" operator="containsText" text="0. INTRO">
      <formula>NOT(ISERROR(SEARCH("0. INTRO",P53)))</formula>
    </cfRule>
    <cfRule type="containsText" dxfId="848" priority="1067" stopIfTrue="1" operator="containsText" text="0.INTRO">
      <formula>NOT(ISERROR(SEARCH("0.INTRO",P53)))</formula>
    </cfRule>
    <cfRule type="expression" dxfId="847" priority="1068" stopIfTrue="1">
      <formula>in_week</formula>
    </cfRule>
  </conditionalFormatting>
  <conditionalFormatting sqref="P62:P68">
    <cfRule type="containsText" dxfId="846" priority="1063" operator="containsText" text="0. INTRO">
      <formula>NOT(ISERROR(SEARCH("0. INTRO",P62)))</formula>
    </cfRule>
    <cfRule type="containsText" dxfId="845" priority="1064" stopIfTrue="1" operator="containsText" text="0.INTRO">
      <formula>NOT(ISERROR(SEARCH("0.INTRO",P62)))</formula>
    </cfRule>
    <cfRule type="expression" dxfId="844" priority="1065" stopIfTrue="1">
      <formula>in_week</formula>
    </cfRule>
  </conditionalFormatting>
  <conditionalFormatting sqref="P100">
    <cfRule type="containsText" dxfId="843" priority="1057" operator="containsText" text="0. INTRO">
      <formula>NOT(ISERROR(SEARCH("0. INTRO",P100)))</formula>
    </cfRule>
    <cfRule type="containsText" dxfId="842" priority="1058" stopIfTrue="1" operator="containsText" text="0.INTRO">
      <formula>NOT(ISERROR(SEARCH("0.INTRO",P100)))</formula>
    </cfRule>
    <cfRule type="expression" dxfId="841" priority="1059" stopIfTrue="1">
      <formula>in_week</formula>
    </cfRule>
  </conditionalFormatting>
  <conditionalFormatting sqref="P112:P120">
    <cfRule type="containsText" dxfId="840" priority="1054" operator="containsText" text="0. INTRO">
      <formula>NOT(ISERROR(SEARCH("0. INTRO",P112)))</formula>
    </cfRule>
    <cfRule type="containsText" dxfId="839" priority="1055" stopIfTrue="1" operator="containsText" text="0.INTRO">
      <formula>NOT(ISERROR(SEARCH("0.INTRO",P112)))</formula>
    </cfRule>
    <cfRule type="expression" dxfId="838" priority="1056" stopIfTrue="1">
      <formula>in_week</formula>
    </cfRule>
  </conditionalFormatting>
  <conditionalFormatting sqref="R69:R70">
    <cfRule type="containsText" dxfId="837" priority="1048" operator="containsText" text="0. INTRO">
      <formula>NOT(ISERROR(SEARCH("0. INTRO",R69)))</formula>
    </cfRule>
    <cfRule type="containsText" dxfId="836" priority="1049" stopIfTrue="1" operator="containsText" text="0.INTRO">
      <formula>NOT(ISERROR(SEARCH("0.INTRO",R69)))</formula>
    </cfRule>
    <cfRule type="expression" dxfId="835" priority="1050" stopIfTrue="1">
      <formula>in_week</formula>
    </cfRule>
  </conditionalFormatting>
  <conditionalFormatting sqref="R88:R89">
    <cfRule type="containsText" dxfId="834" priority="1045" operator="containsText" text="0. INTRO">
      <formula>NOT(ISERROR(SEARCH("0. INTRO",R88)))</formula>
    </cfRule>
    <cfRule type="containsText" dxfId="833" priority="1046" stopIfTrue="1" operator="containsText" text="0.INTRO">
      <formula>NOT(ISERROR(SEARCH("0.INTRO",R88)))</formula>
    </cfRule>
    <cfRule type="expression" dxfId="832" priority="1047" stopIfTrue="1">
      <formula>in_week</formula>
    </cfRule>
  </conditionalFormatting>
  <conditionalFormatting sqref="R102">
    <cfRule type="containsText" dxfId="831" priority="1042" operator="containsText" text="0. INTRO">
      <formula>NOT(ISERROR(SEARCH("0. INTRO",R102)))</formula>
    </cfRule>
    <cfRule type="containsText" dxfId="830" priority="1043" stopIfTrue="1" operator="containsText" text="0.INTRO">
      <formula>NOT(ISERROR(SEARCH("0.INTRO",R102)))</formula>
    </cfRule>
    <cfRule type="expression" dxfId="829" priority="1044" stopIfTrue="1">
      <formula>in_week</formula>
    </cfRule>
  </conditionalFormatting>
  <conditionalFormatting sqref="R112:R120">
    <cfRule type="containsText" dxfId="828" priority="1039" operator="containsText" text="0. INTRO">
      <formula>NOT(ISERROR(SEARCH("0. INTRO",R112)))</formula>
    </cfRule>
    <cfRule type="containsText" dxfId="827" priority="1040" stopIfTrue="1" operator="containsText" text="0.INTRO">
      <formula>NOT(ISERROR(SEARCH("0.INTRO",R112)))</formula>
    </cfRule>
    <cfRule type="expression" dxfId="826" priority="1041" stopIfTrue="1">
      <formula>in_week</formula>
    </cfRule>
  </conditionalFormatting>
  <conditionalFormatting sqref="R140:R141">
    <cfRule type="containsText" dxfId="825" priority="1036" operator="containsText" text="0. INTRO">
      <formula>NOT(ISERROR(SEARCH("0. INTRO",R140)))</formula>
    </cfRule>
    <cfRule type="containsText" dxfId="824" priority="1037" stopIfTrue="1" operator="containsText" text="0.INTRO">
      <formula>NOT(ISERROR(SEARCH("0.INTRO",R140)))</formula>
    </cfRule>
    <cfRule type="expression" dxfId="823" priority="1038" stopIfTrue="1">
      <formula>in_week</formula>
    </cfRule>
  </conditionalFormatting>
  <conditionalFormatting sqref="R153">
    <cfRule type="containsText" dxfId="822" priority="1033" operator="containsText" text="0. INTRO">
      <formula>NOT(ISERROR(SEARCH("0. INTRO",R153)))</formula>
    </cfRule>
    <cfRule type="containsText" dxfId="821" priority="1034" stopIfTrue="1" operator="containsText" text="0.INTRO">
      <formula>NOT(ISERROR(SEARCH("0.INTRO",R153)))</formula>
    </cfRule>
    <cfRule type="expression" dxfId="820" priority="1035" stopIfTrue="1">
      <formula>in_week</formula>
    </cfRule>
  </conditionalFormatting>
  <conditionalFormatting sqref="Y101">
    <cfRule type="containsText" dxfId="819" priority="924" operator="containsText" text="0. INTRO">
      <formula>NOT(ISERROR(SEARCH("0. INTRO",Y101)))</formula>
    </cfRule>
    <cfRule type="containsText" dxfId="818" priority="925" stopIfTrue="1" operator="containsText" text="0.INTRO">
      <formula>NOT(ISERROR(SEARCH("0.INTRO",Y101)))</formula>
    </cfRule>
    <cfRule type="expression" dxfId="817" priority="926" stopIfTrue="1">
      <formula>in_week</formula>
    </cfRule>
  </conditionalFormatting>
  <conditionalFormatting sqref="Y69:Z87">
    <cfRule type="containsText" dxfId="816" priority="945" operator="containsText" text="0. INTRO">
      <formula>NOT(ISERROR(SEARCH("0. INTRO",Y69)))</formula>
    </cfRule>
    <cfRule type="containsText" dxfId="815" priority="946" stopIfTrue="1" operator="containsText" text="0.INTRO">
      <formula>NOT(ISERROR(SEARCH("0.INTRO",Y69)))</formula>
    </cfRule>
    <cfRule type="expression" dxfId="814" priority="947" stopIfTrue="1">
      <formula>in_week</formula>
    </cfRule>
  </conditionalFormatting>
  <conditionalFormatting sqref="AA90:AA101">
    <cfRule type="containsText" dxfId="813" priority="909" operator="containsText" text="0. INTRO">
      <formula>NOT(ISERROR(SEARCH("0. INTRO",AA90)))</formula>
    </cfRule>
    <cfRule type="containsText" dxfId="812" priority="910" stopIfTrue="1" operator="containsText" text="0.INTRO">
      <formula>NOT(ISERROR(SEARCH("0.INTRO",AA90)))</formula>
    </cfRule>
    <cfRule type="expression" dxfId="811" priority="911" stopIfTrue="1">
      <formula>in_week</formula>
    </cfRule>
  </conditionalFormatting>
  <conditionalFormatting sqref="AA103:AB129 AB129:AB130">
    <cfRule type="containsText" dxfId="810" priority="897" operator="containsText" text="0. INTRO">
      <formula>NOT(ISERROR(SEARCH("0. INTRO",AA103)))</formula>
    </cfRule>
    <cfRule type="containsText" dxfId="809" priority="898" stopIfTrue="1" operator="containsText" text="0.INTRO">
      <formula>NOT(ISERROR(SEARCH("0.INTRO",AA103)))</formula>
    </cfRule>
    <cfRule type="expression" dxfId="808" priority="899" stopIfTrue="1">
      <formula>in_week</formula>
    </cfRule>
  </conditionalFormatting>
  <conditionalFormatting sqref="AA102:AF102">
    <cfRule type="containsText" dxfId="807" priority="1093" operator="containsText" text="0. INTRO">
      <formula>NOT(ISERROR(SEARCH("0. INTRO",AA102)))</formula>
    </cfRule>
    <cfRule type="containsText" dxfId="806" priority="1094" stopIfTrue="1" operator="containsText" text="0.INTRO">
      <formula>NOT(ISERROR(SEARCH("0.INTRO",AA102)))</formula>
    </cfRule>
    <cfRule type="expression" dxfId="805" priority="1095" stopIfTrue="1">
      <formula>in_week</formula>
    </cfRule>
  </conditionalFormatting>
  <conditionalFormatting sqref="AD143:AD164 L17:P20 T17:AF25 Q17:S68 N21:P37 L21:M78 AC26:AF34 T26:AB35 U36:Z36 AA36:AB89 T37:Z37 O38:P46 AC38:AD52 AD53:AD58 AC53:AC59 S69:S78 K79:M79 AD79:AF80 AC79:AC87 V80:V85 U80:U87 S88:T93 AD84:AD87 W88:Z89 U112:Y112 L131:L207 N140:N207 AC142:AC151 AC153:AC163 AE155:AF161 R164:R207 AB216:AF216 I209:AA217 AE217:AF222 AC226:AD227 AB226:AB233 AC228:AC231 AD228:AD243 D53:F59 H53:H59 G53:G57 D47:H52 D38:E46 G38:H46 F38:F45 D17:H37 AG52:AM52 AC60:AD61 AC88:AD89 AD93:AF98 AC62:AF78 AD90:AE92 AD81:AE83 AD99:AD101 AE103:AF103 AE151 AE39:AF59 AE78:AF87 S79:V79 U69:V78 W69:W86 P153:P207 P149:P150 I208:AE208 AF104:AF111 AE153:AE154 AF142:AF152 AE162:AE163 AC165:AE165 AC166:AF190 AF182:AF191 AB209:AE215 AF234:AF243 AF246:AF253 AF194:AF216 U113:Z120 X111 Y130:AB139 Y121:Z129 U140:AE141 U121:X139 U192:AE193 U142:AB191 U204:AE207 U194:W203 Y194:AE203 X194:X202 X69:X87 AC113:AF120 AC121:AD121 AE112:AF112 AD122:AD139 AF121:AF139 AE121:AE137 AF154:AF165 AG83:AG87 AF90:AG101 AH121:AH139 AH142:AH152 AH154:AH163 AH188:AH191 AH194:AH207 AH209:AH216 AH226:AH239 U38:Z68 AI78:AI87 AI90:AI101 AI151:AI152 AJ83:AJ87 AJ90:AJ91 AJ99:AJ101 AJ121:AJ139 AJ142:AJ152 AI154:AJ162 AJ163:AJ164 AJ185:AJ191 AJ194:AJ207 AJ209:AJ216 AJ226:AJ243 AJ246:AJ250 T36:T78 AB90:AB101 S80:S87 S99:T102 S94:S98 S111:T207 S103:S110 AH103:AK111 AL110:AL111 AK121:AL130 AJ174:AK181 AK165 AJ261:AJ268 AN163:AN164 AN174 AN183:AN191 AN194 AN206:AN207 AN209:AN216 AL209:AL216 AL226:AL243 AL268 AL278:AL286 AN226:AN243 AN266:AN268 AN278 AG208:AN208 O47:O207 Q69:Q207 L80:L129 M80:M207 U88:V111 Z90:Z112 D60:H217 I17:K207">
    <cfRule type="containsText" dxfId="804" priority="1121" operator="containsText" text="0. INTRO">
      <formula>NOT(ISERROR(SEARCH("0. INTRO",D17)))</formula>
    </cfRule>
  </conditionalFormatting>
  <conditionalFormatting sqref="AB101">
    <cfRule type="containsText" dxfId="803" priority="1118" operator="containsText" text="0. INTRO">
      <formula>NOT(ISERROR(SEARCH("0. INTRO",AB101)))</formula>
    </cfRule>
    <cfRule type="containsText" dxfId="802" priority="1119" stopIfTrue="1" operator="containsText" text="0.INTRO">
      <formula>NOT(ISERROR(SEARCH("0.INTRO",AB101)))</formula>
    </cfRule>
    <cfRule type="expression" dxfId="801" priority="1120" stopIfTrue="1">
      <formula>in_week</formula>
    </cfRule>
  </conditionalFormatting>
  <conditionalFormatting sqref="AC90:AC101">
    <cfRule type="containsText" dxfId="800" priority="888" operator="containsText" text="0. INTRO">
      <formula>NOT(ISERROR(SEARCH("0. INTRO",AC90)))</formula>
    </cfRule>
    <cfRule type="containsText" dxfId="799" priority="889" stopIfTrue="1" operator="containsText" text="0.INTRO">
      <formula>NOT(ISERROR(SEARCH("0.INTRO",AC90)))</formula>
    </cfRule>
    <cfRule type="expression" dxfId="798" priority="890" stopIfTrue="1">
      <formula>in_week</formula>
    </cfRule>
  </conditionalFormatting>
  <conditionalFormatting sqref="AC122:AC139">
    <cfRule type="containsText" dxfId="797" priority="861" operator="containsText" text="0. INTRO">
      <formula>NOT(ISERROR(SEARCH("0. INTRO",AC122)))</formula>
    </cfRule>
    <cfRule type="containsText" dxfId="796" priority="862" stopIfTrue="1" operator="containsText" text="0.INTRO">
      <formula>NOT(ISERROR(SEARCH("0.INTRO",AC122)))</formula>
    </cfRule>
    <cfRule type="expression" dxfId="795" priority="863" stopIfTrue="1">
      <formula>in_week</formula>
    </cfRule>
  </conditionalFormatting>
  <conditionalFormatting sqref="AC103:AD112">
    <cfRule type="containsText" dxfId="794" priority="876" operator="containsText" text="0. INTRO">
      <formula>NOT(ISERROR(SEARCH("0. INTRO",AC103)))</formula>
    </cfRule>
    <cfRule type="containsText" dxfId="793" priority="877" stopIfTrue="1" operator="containsText" text="0.INTRO">
      <formula>NOT(ISERROR(SEARCH("0.INTRO",AC103)))</formula>
    </cfRule>
    <cfRule type="expression" dxfId="792" priority="878" stopIfTrue="1">
      <formula>in_week</formula>
    </cfRule>
  </conditionalFormatting>
  <conditionalFormatting sqref="AC121:AD121">
    <cfRule type="containsText" dxfId="791" priority="879" operator="containsText" text="0. INTRO">
      <formula>NOT(ISERROR(SEARCH("0. INTRO",AC121)))</formula>
    </cfRule>
    <cfRule type="containsText" dxfId="790" priority="880" stopIfTrue="1" operator="containsText" text="0.INTRO">
      <formula>NOT(ISERROR(SEARCH("0.INTRO",AC121)))</formula>
    </cfRule>
    <cfRule type="expression" dxfId="789" priority="881" stopIfTrue="1">
      <formula>in_week</formula>
    </cfRule>
  </conditionalFormatting>
  <conditionalFormatting sqref="AC36:AM37">
    <cfRule type="containsText" dxfId="788" priority="1027" operator="containsText" text="0. INTRO">
      <formula>NOT(ISERROR(SEARCH("0. INTRO",AC36)))</formula>
    </cfRule>
    <cfRule type="containsText" dxfId="787" priority="1028" stopIfTrue="1" operator="containsText" text="0.INTRO">
      <formula>NOT(ISERROR(SEARCH("0.INTRO",AC36)))</formula>
    </cfRule>
    <cfRule type="expression" dxfId="786" priority="1029" stopIfTrue="1">
      <formula>in_week</formula>
    </cfRule>
  </conditionalFormatting>
  <conditionalFormatting sqref="AD59">
    <cfRule type="containsText" dxfId="785" priority="1021" operator="containsText" text="0. INTRO">
      <formula>NOT(ISERROR(SEARCH("0. INTRO",AD59)))</formula>
    </cfRule>
    <cfRule type="containsText" dxfId="784" priority="1022" stopIfTrue="1" operator="containsText" text="0.INTRO">
      <formula>NOT(ISERROR(SEARCH("0.INTRO",AD59)))</formula>
    </cfRule>
    <cfRule type="expression" dxfId="783" priority="1023" stopIfTrue="1">
      <formula>in_week</formula>
    </cfRule>
  </conditionalFormatting>
  <conditionalFormatting sqref="AD154">
    <cfRule type="containsText" dxfId="782" priority="1015" operator="containsText" text="0. INTRO">
      <formula>NOT(ISERROR(SEARCH("0. INTRO",AD154)))</formula>
    </cfRule>
    <cfRule type="containsText" dxfId="781" priority="1016" stopIfTrue="1" operator="containsText" text="0.INTRO">
      <formula>NOT(ISERROR(SEARCH("0.INTRO",AD154)))</formula>
    </cfRule>
    <cfRule type="expression" dxfId="780" priority="1017" stopIfTrue="1">
      <formula>in_week</formula>
    </cfRule>
  </conditionalFormatting>
  <conditionalFormatting sqref="AD165">
    <cfRule type="containsText" dxfId="779" priority="1012" operator="containsText" text="0. INTRO">
      <formula>NOT(ISERROR(SEARCH("0. INTRO",AD165)))</formula>
    </cfRule>
    <cfRule type="containsText" dxfId="778" priority="1013" stopIfTrue="1" operator="containsText" text="0.INTRO">
      <formula>NOT(ISERROR(SEARCH("0.INTRO",AD165)))</formula>
    </cfRule>
    <cfRule type="expression" dxfId="777" priority="1014" stopIfTrue="1">
      <formula>in_week</formula>
    </cfRule>
  </conditionalFormatting>
  <conditionalFormatting sqref="AD191">
    <cfRule type="containsText" dxfId="776" priority="1009" operator="containsText" text="0. INTRO">
      <formula>NOT(ISERROR(SEARCH("0. INTRO",AD191)))</formula>
    </cfRule>
    <cfRule type="containsText" dxfId="775" priority="1010" stopIfTrue="1" operator="containsText" text="0.INTRO">
      <formula>NOT(ISERROR(SEARCH("0.INTRO",AD191)))</formula>
    </cfRule>
    <cfRule type="expression" dxfId="774" priority="1011" stopIfTrue="1">
      <formula>in_week</formula>
    </cfRule>
  </conditionalFormatting>
  <conditionalFormatting sqref="AF77">
    <cfRule type="containsText" dxfId="773" priority="858" operator="containsText" text="0. INTRO">
      <formula>NOT(ISERROR(SEARCH("0. INTRO",AF77)))</formula>
    </cfRule>
    <cfRule type="containsText" dxfId="772" priority="859" stopIfTrue="1" operator="containsText" text="0.INTRO">
      <formula>NOT(ISERROR(SEARCH("0.INTRO",AF77)))</formula>
    </cfRule>
    <cfRule type="expression" dxfId="771" priority="860" stopIfTrue="1">
      <formula>in_week</formula>
    </cfRule>
  </conditionalFormatting>
  <conditionalFormatting sqref="AF121:AF129">
    <cfRule type="containsText" dxfId="770" priority="855" operator="containsText" text="0. INTRO">
      <formula>NOT(ISERROR(SEARCH("0. INTRO",AF121)))</formula>
    </cfRule>
    <cfRule type="containsText" dxfId="769" priority="856" stopIfTrue="1" operator="containsText" text="0.INTRO">
      <formula>NOT(ISERROR(SEARCH("0.INTRO",AF121)))</formula>
    </cfRule>
    <cfRule type="expression" dxfId="768" priority="857" stopIfTrue="1">
      <formula>in_week</formula>
    </cfRule>
  </conditionalFormatting>
  <conditionalFormatting sqref="AF130">
    <cfRule type="containsText" dxfId="767" priority="852" operator="containsText" text="0. INTRO">
      <formula>NOT(ISERROR(SEARCH("0. INTRO",AF130)))</formula>
    </cfRule>
    <cfRule type="containsText" dxfId="766" priority="853" stopIfTrue="1" operator="containsText" text="0.INTRO">
      <formula>NOT(ISERROR(SEARCH("0.INTRO",AF130)))</formula>
    </cfRule>
    <cfRule type="expression" dxfId="765" priority="854" stopIfTrue="1">
      <formula>in_week</formula>
    </cfRule>
  </conditionalFormatting>
  <conditionalFormatting sqref="AE52:AF52">
    <cfRule type="expression" dxfId="764" priority="851" stopIfTrue="1">
      <formula>in_week</formula>
    </cfRule>
  </conditionalFormatting>
  <conditionalFormatting sqref="AE60:AF61">
    <cfRule type="expression" dxfId="763" priority="850" stopIfTrue="1">
      <formula>in_week</formula>
    </cfRule>
  </conditionalFormatting>
  <conditionalFormatting sqref="AE60:AF61">
    <cfRule type="containsText" dxfId="762" priority="849" stopIfTrue="1" operator="containsText" text="0.INTRO">
      <formula>NOT(ISERROR(SEARCH("0.INTRO",AE60)))</formula>
    </cfRule>
  </conditionalFormatting>
  <conditionalFormatting sqref="AE60:AF61">
    <cfRule type="containsText" dxfId="761" priority="848" operator="containsText" text="0. INTRO">
      <formula>NOT(ISERROR(SEARCH("0. INTRO",AE60)))</formula>
    </cfRule>
  </conditionalFormatting>
  <conditionalFormatting sqref="AF140:AF141">
    <cfRule type="containsText" dxfId="760" priority="847" stopIfTrue="1" operator="containsText" text="0.INTRO">
      <formula>NOT(ISERROR(SEARCH("0.INTRO",AF140)))</formula>
    </cfRule>
  </conditionalFormatting>
  <conditionalFormatting sqref="AF140:AF141">
    <cfRule type="containsText" dxfId="759" priority="846" operator="containsText" text="0. INTRO">
      <formula>NOT(ISERROR(SEARCH("0. INTRO",AF140)))</formula>
    </cfRule>
  </conditionalFormatting>
  <conditionalFormatting sqref="P60:P61">
    <cfRule type="containsText" dxfId="758" priority="845" stopIfTrue="1" operator="containsText" text="0.INTRO">
      <formula>NOT(ISERROR(SEARCH("0.INTRO",P60)))</formula>
    </cfRule>
  </conditionalFormatting>
  <conditionalFormatting sqref="P60:P61">
    <cfRule type="containsText" dxfId="757" priority="844" operator="containsText" text="0. INTRO">
      <formula>NOT(ISERROR(SEARCH("0. INTRO",P60)))</formula>
    </cfRule>
  </conditionalFormatting>
  <conditionalFormatting sqref="P52">
    <cfRule type="containsText" dxfId="756" priority="843" stopIfTrue="1" operator="containsText" text="0.INTRO">
      <formula>NOT(ISERROR(SEARCH("0.INTRO",P52)))</formula>
    </cfRule>
  </conditionalFormatting>
  <conditionalFormatting sqref="P52">
    <cfRule type="containsText" dxfId="755" priority="842" operator="containsText" text="0. INTRO">
      <formula>NOT(ISERROR(SEARCH("0. INTRO",P52)))</formula>
    </cfRule>
  </conditionalFormatting>
  <conditionalFormatting sqref="P102">
    <cfRule type="containsText" dxfId="754" priority="838" stopIfTrue="1" operator="containsText" text="0.INTRO">
      <formula>NOT(ISERROR(SEARCH("0.INTRO",P102)))</formula>
    </cfRule>
  </conditionalFormatting>
  <conditionalFormatting sqref="P102">
    <cfRule type="containsText" dxfId="753" priority="837" operator="containsText" text="0. INTRO">
      <formula>NOT(ISERROR(SEARCH("0. INTRO",P102)))</formula>
    </cfRule>
  </conditionalFormatting>
  <conditionalFormatting sqref="P140">
    <cfRule type="expression" dxfId="752" priority="836" stopIfTrue="1">
      <formula>in_week</formula>
    </cfRule>
  </conditionalFormatting>
  <conditionalFormatting sqref="P140">
    <cfRule type="containsText" dxfId="751" priority="835" stopIfTrue="1" operator="containsText" text="0.INTRO">
      <formula>NOT(ISERROR(SEARCH("0.INTRO",P140)))</formula>
    </cfRule>
  </conditionalFormatting>
  <conditionalFormatting sqref="P140">
    <cfRule type="containsText" dxfId="750" priority="834" operator="containsText" text="0. INTRO">
      <formula>NOT(ISERROR(SEARCH("0. INTRO",P140)))</formula>
    </cfRule>
  </conditionalFormatting>
  <conditionalFormatting sqref="P141">
    <cfRule type="containsText" dxfId="749" priority="833" stopIfTrue="1" operator="containsText" text="0.INTRO">
      <formula>NOT(ISERROR(SEARCH("0.INTRO",P141)))</formula>
    </cfRule>
  </conditionalFormatting>
  <conditionalFormatting sqref="P141">
    <cfRule type="containsText" dxfId="748" priority="832" operator="containsText" text="0. INTRO">
      <formula>NOT(ISERROR(SEARCH("0. INTRO",P141)))</formula>
    </cfRule>
  </conditionalFormatting>
  <conditionalFormatting sqref="AE60:AF61">
    <cfRule type="expression" dxfId="747" priority="831" stopIfTrue="1">
      <formula>in_week</formula>
    </cfRule>
  </conditionalFormatting>
  <conditionalFormatting sqref="P60:P61">
    <cfRule type="containsText" dxfId="746" priority="830" stopIfTrue="1" operator="containsText" text="0.INTRO">
      <formula>NOT(ISERROR(SEARCH("0.INTRO",P60)))</formula>
    </cfRule>
  </conditionalFormatting>
  <conditionalFormatting sqref="P60:P61">
    <cfRule type="containsText" dxfId="745" priority="829" operator="containsText" text="0. INTRO">
      <formula>NOT(ISERROR(SEARCH("0. INTRO",P60)))</formula>
    </cfRule>
  </conditionalFormatting>
  <conditionalFormatting sqref="AE104:AE111">
    <cfRule type="containsText" dxfId="744" priority="823" operator="containsText" text="0. INTRO">
      <formula>NOT(ISERROR(SEARCH("0. INTRO",AE104)))</formula>
    </cfRule>
    <cfRule type="containsText" dxfId="743" priority="824" stopIfTrue="1" operator="containsText" text="0.INTRO">
      <formula>NOT(ISERROR(SEARCH("0.INTRO",AE104)))</formula>
    </cfRule>
    <cfRule type="expression" dxfId="742" priority="825" stopIfTrue="1">
      <formula>in_week</formula>
    </cfRule>
  </conditionalFormatting>
  <conditionalFormatting sqref="AE130:AE135">
    <cfRule type="containsText" dxfId="741" priority="814" operator="containsText" text="0. INTRO">
      <formula>NOT(ISERROR(SEARCH("0. INTRO",AE130)))</formula>
    </cfRule>
    <cfRule type="containsText" dxfId="740" priority="815" stopIfTrue="1" operator="containsText" text="0.INTRO">
      <formula>NOT(ISERROR(SEARCH("0.INTRO",AE130)))</formula>
    </cfRule>
    <cfRule type="expression" dxfId="739" priority="816" stopIfTrue="1">
      <formula>in_week</formula>
    </cfRule>
  </conditionalFormatting>
  <conditionalFormatting sqref="AE129">
    <cfRule type="containsText" dxfId="738" priority="817" operator="containsText" text="0. INTRO">
      <formula>NOT(ISERROR(SEARCH("0. INTRO",AE129)))</formula>
    </cfRule>
    <cfRule type="containsText" dxfId="737" priority="818" stopIfTrue="1" operator="containsText" text="0.INTRO">
      <formula>NOT(ISERROR(SEARCH("0.INTRO",AE129)))</formula>
    </cfRule>
    <cfRule type="expression" dxfId="736" priority="819" stopIfTrue="1">
      <formula>in_week</formula>
    </cfRule>
  </conditionalFormatting>
  <conditionalFormatting sqref="AE136:AE138">
    <cfRule type="containsText" dxfId="735" priority="811" operator="containsText" text="0. INTRO">
      <formula>NOT(ISERROR(SEARCH("0. INTRO",AE136)))</formula>
    </cfRule>
    <cfRule type="containsText" dxfId="734" priority="812" stopIfTrue="1" operator="containsText" text="0.INTRO">
      <formula>NOT(ISERROR(SEARCH("0.INTRO",AE136)))</formula>
    </cfRule>
    <cfRule type="expression" dxfId="733" priority="813" stopIfTrue="1">
      <formula>in_week</formula>
    </cfRule>
  </conditionalFormatting>
  <conditionalFormatting sqref="AF162">
    <cfRule type="containsText" dxfId="732" priority="805" operator="containsText" text="0. INTRO">
      <formula>NOT(ISERROR(SEARCH("0. INTRO",AF162)))</formula>
    </cfRule>
    <cfRule type="containsText" dxfId="731" priority="806" stopIfTrue="1" operator="containsText" text="0.INTRO">
      <formula>NOT(ISERROR(SEARCH("0.INTRO",AF162)))</formula>
    </cfRule>
    <cfRule type="expression" dxfId="730" priority="807" stopIfTrue="1">
      <formula>in_week</formula>
    </cfRule>
  </conditionalFormatting>
  <conditionalFormatting sqref="AF181">
    <cfRule type="containsText" dxfId="729" priority="802" operator="containsText" text="0. INTRO">
      <formula>NOT(ISERROR(SEARCH("0. INTRO",AF181)))</formula>
    </cfRule>
    <cfRule type="containsText" dxfId="728" priority="803" stopIfTrue="1" operator="containsText" text="0.INTRO">
      <formula>NOT(ISERROR(SEARCH("0.INTRO",AF181)))</formula>
    </cfRule>
    <cfRule type="expression" dxfId="727" priority="804" stopIfTrue="1">
      <formula>in_week</formula>
    </cfRule>
  </conditionalFormatting>
  <conditionalFormatting sqref="AF201">
    <cfRule type="containsText" dxfId="726" priority="799" operator="containsText" text="0. INTRO">
      <formula>NOT(ISERROR(SEARCH("0. INTRO",AF201)))</formula>
    </cfRule>
    <cfRule type="containsText" dxfId="725" priority="800" stopIfTrue="1" operator="containsText" text="0.INTRO">
      <formula>NOT(ISERROR(SEARCH("0.INTRO",AF201)))</formula>
    </cfRule>
    <cfRule type="expression" dxfId="724" priority="801" stopIfTrue="1">
      <formula>in_week</formula>
    </cfRule>
  </conditionalFormatting>
  <conditionalFormatting sqref="AF226:AF233">
    <cfRule type="containsText" dxfId="723" priority="798" stopIfTrue="1" operator="containsText" text="0.INTRO">
      <formula>NOT(ISERROR(SEARCH("0.INTRO",AF226)))</formula>
    </cfRule>
  </conditionalFormatting>
  <conditionalFormatting sqref="AF226:AF233">
    <cfRule type="containsText" dxfId="722" priority="797" operator="containsText" text="0. INTRO">
      <formula>NOT(ISERROR(SEARCH("0. INTRO",AF226)))</formula>
    </cfRule>
  </conditionalFormatting>
  <conditionalFormatting sqref="AF244:AF245">
    <cfRule type="expression" dxfId="721" priority="793">
      <formula>in_week</formula>
    </cfRule>
    <cfRule type="expression" dxfId="720" priority="794" stopIfTrue="1">
      <formula>in_week</formula>
    </cfRule>
  </conditionalFormatting>
  <conditionalFormatting sqref="P88:P89">
    <cfRule type="expression" dxfId="719" priority="792" stopIfTrue="1">
      <formula>in_week</formula>
    </cfRule>
  </conditionalFormatting>
  <conditionalFormatting sqref="P88:P89">
    <cfRule type="containsText" dxfId="718" priority="791" stopIfTrue="1" operator="containsText" text="0.INTRO">
      <formula>NOT(ISERROR(SEARCH("0.INTRO",P88)))</formula>
    </cfRule>
  </conditionalFormatting>
  <conditionalFormatting sqref="P88:P89">
    <cfRule type="containsText" dxfId="717" priority="790" operator="containsText" text="0. INTRO">
      <formula>NOT(ISERROR(SEARCH("0. INTRO",P88)))</formula>
    </cfRule>
  </conditionalFormatting>
  <conditionalFormatting sqref="AG69:AG82">
    <cfRule type="containsText" dxfId="716" priority="789" stopIfTrue="1" operator="containsText" text="0.INTRO">
      <formula>NOT(ISERROR(SEARCH("0.INTRO",AG69)))</formula>
    </cfRule>
  </conditionalFormatting>
  <conditionalFormatting sqref="AG69:AG82">
    <cfRule type="containsText" dxfId="715" priority="788" operator="containsText" text="0. INTRO">
      <formula>NOT(ISERROR(SEARCH("0. INTRO",AG69)))</formula>
    </cfRule>
  </conditionalFormatting>
  <conditionalFormatting sqref="AG103:AG111">
    <cfRule type="containsText" dxfId="714" priority="785" stopIfTrue="1" operator="containsText" text="0.INTRO">
      <formula>NOT(ISERROR(SEARCH("0.INTRO",AG103)))</formula>
    </cfRule>
  </conditionalFormatting>
  <conditionalFormatting sqref="AG103:AG111">
    <cfRule type="containsText" dxfId="713" priority="784" operator="containsText" text="0. INTRO">
      <formula>NOT(ISERROR(SEARCH("0. INTRO",AG103)))</formula>
    </cfRule>
  </conditionalFormatting>
  <conditionalFormatting sqref="AG121:AG123">
    <cfRule type="containsText" dxfId="712" priority="781" operator="containsText" text="0. INTRO">
      <formula>NOT(ISERROR(SEARCH("0. INTRO",AG121)))</formula>
    </cfRule>
    <cfRule type="containsText" dxfId="711" priority="782" stopIfTrue="1" operator="containsText" text="0.INTRO">
      <formula>NOT(ISERROR(SEARCH("0.INTRO",AG121)))</formula>
    </cfRule>
    <cfRule type="expression" dxfId="710" priority="783" stopIfTrue="1">
      <formula>in_week</formula>
    </cfRule>
  </conditionalFormatting>
  <conditionalFormatting sqref="AG124 AG133">
    <cfRule type="containsText" dxfId="709" priority="780" stopIfTrue="1" operator="containsText" text="0.INTRO">
      <formula>NOT(ISERROR(SEARCH("0.INTRO",AG124)))</formula>
    </cfRule>
  </conditionalFormatting>
  <conditionalFormatting sqref="AG124 AG133">
    <cfRule type="containsText" dxfId="708" priority="776" operator="containsText" text="0. INTRO">
      <formula>NOT(ISERROR(SEARCH("0. INTRO",AG124)))</formula>
    </cfRule>
    <cfRule type="containsText" dxfId="707" priority="777" stopIfTrue="1" operator="containsText" text="0.INTRO">
      <formula>NOT(ISERROR(SEARCH("0.INTRO",AG124)))</formula>
    </cfRule>
    <cfRule type="expression" dxfId="706" priority="778" stopIfTrue="1">
      <formula>in_week</formula>
    </cfRule>
  </conditionalFormatting>
  <conditionalFormatting sqref="AG124 AG133">
    <cfRule type="containsText" dxfId="705" priority="779" operator="containsText" text="0. INTRO">
      <formula>NOT(ISERROR(SEARCH("0. INTRO",AG124)))</formula>
    </cfRule>
  </conditionalFormatting>
  <conditionalFormatting sqref="AG125:AG132">
    <cfRule type="containsText" dxfId="704" priority="773" operator="containsText" text="0. INTRO">
      <formula>NOT(ISERROR(SEARCH("0. INTRO",AG125)))</formula>
    </cfRule>
    <cfRule type="containsText" dxfId="703" priority="774" stopIfTrue="1" operator="containsText" text="0.INTRO">
      <formula>NOT(ISERROR(SEARCH("0.INTRO",AG125)))</formula>
    </cfRule>
    <cfRule type="expression" dxfId="702" priority="775" stopIfTrue="1">
      <formula>in_week</formula>
    </cfRule>
  </conditionalFormatting>
  <conditionalFormatting sqref="AG134:AG138">
    <cfRule type="containsText" dxfId="701" priority="772" stopIfTrue="1" operator="containsText" text="0.INTRO">
      <formula>NOT(ISERROR(SEARCH("0.INTRO",AG134)))</formula>
    </cfRule>
  </conditionalFormatting>
  <conditionalFormatting sqref="AG134:AG138">
    <cfRule type="containsText" dxfId="700" priority="768" operator="containsText" text="0. INTRO">
      <formula>NOT(ISERROR(SEARCH("0. INTRO",AG134)))</formula>
    </cfRule>
    <cfRule type="containsText" dxfId="699" priority="769" stopIfTrue="1" operator="containsText" text="0.INTRO">
      <formula>NOT(ISERROR(SEARCH("0.INTRO",AG134)))</formula>
    </cfRule>
    <cfRule type="expression" dxfId="698" priority="770" stopIfTrue="1">
      <formula>in_week</formula>
    </cfRule>
  </conditionalFormatting>
  <conditionalFormatting sqref="AG134:AG138">
    <cfRule type="containsText" dxfId="697" priority="771" operator="containsText" text="0. INTRO">
      <formula>NOT(ISERROR(SEARCH("0. INTRO",AG134)))</formula>
    </cfRule>
  </conditionalFormatting>
  <conditionalFormatting sqref="AG139">
    <cfRule type="containsText" dxfId="696" priority="767" stopIfTrue="1" operator="containsText" text="0.INTRO">
      <formula>NOT(ISERROR(SEARCH("0.INTRO",AG139)))</formula>
    </cfRule>
  </conditionalFormatting>
  <conditionalFormatting sqref="AG139">
    <cfRule type="containsText" dxfId="695" priority="766" operator="containsText" text="0. INTRO">
      <formula>NOT(ISERROR(SEARCH("0. INTRO",AG139)))</formula>
    </cfRule>
  </conditionalFormatting>
  <conditionalFormatting sqref="AG139">
    <cfRule type="containsText" dxfId="694" priority="763" operator="containsText" text="0. INTRO">
      <formula>NOT(ISERROR(SEARCH("0. INTRO",AG139)))</formula>
    </cfRule>
    <cfRule type="containsText" dxfId="693" priority="764" stopIfTrue="1" operator="containsText" text="0.INTRO">
      <formula>NOT(ISERROR(SEARCH("0.INTRO",AG139)))</formula>
    </cfRule>
    <cfRule type="expression" dxfId="692" priority="765" stopIfTrue="1">
      <formula>in_week</formula>
    </cfRule>
  </conditionalFormatting>
  <conditionalFormatting sqref="AG159:AG163">
    <cfRule type="containsText" dxfId="691" priority="746" operator="containsText" text="0. INTRO">
      <formula>NOT(ISERROR(SEARCH("0. INTRO",AG159)))</formula>
    </cfRule>
    <cfRule type="containsText" dxfId="690" priority="747" stopIfTrue="1" operator="containsText" text="0.INTRO">
      <formula>NOT(ISERROR(SEARCH("0.INTRO",AG159)))</formula>
    </cfRule>
    <cfRule type="expression" dxfId="689" priority="748" stopIfTrue="1">
      <formula>in_week</formula>
    </cfRule>
  </conditionalFormatting>
  <conditionalFormatting sqref="AH69:AH73">
    <cfRule type="containsText" dxfId="688" priority="745" stopIfTrue="1" operator="containsText" text="0.INTRO">
      <formula>NOT(ISERROR(SEARCH("0.INTRO",AH69)))</formula>
    </cfRule>
  </conditionalFormatting>
  <conditionalFormatting sqref="AH69:AH73">
    <cfRule type="containsText" dxfId="687" priority="744" operator="containsText" text="0. INTRO">
      <formula>NOT(ISERROR(SEARCH("0. INTRO",AH69)))</formula>
    </cfRule>
  </conditionalFormatting>
  <conditionalFormatting sqref="AH74:AH80">
    <cfRule type="containsText" dxfId="686" priority="743" stopIfTrue="1" operator="containsText" text="0.INTRO">
      <formula>NOT(ISERROR(SEARCH("0.INTRO",AH74)))</formula>
    </cfRule>
  </conditionalFormatting>
  <conditionalFormatting sqref="AH74:AH80">
    <cfRule type="containsText" dxfId="685" priority="742" operator="containsText" text="0. INTRO">
      <formula>NOT(ISERROR(SEARCH("0. INTRO",AH74)))</formula>
    </cfRule>
  </conditionalFormatting>
  <conditionalFormatting sqref="AH81:AH84">
    <cfRule type="containsText" dxfId="684" priority="741" stopIfTrue="1" operator="containsText" text="0.INTRO">
      <formula>NOT(ISERROR(SEARCH("0.INTRO",AH81)))</formula>
    </cfRule>
  </conditionalFormatting>
  <conditionalFormatting sqref="AH81:AH84">
    <cfRule type="containsText" dxfId="683" priority="740" operator="containsText" text="0. INTRO">
      <formula>NOT(ISERROR(SEARCH("0. INTRO",AH81)))</formula>
    </cfRule>
  </conditionalFormatting>
  <conditionalFormatting sqref="AH85:AH87">
    <cfRule type="containsText" dxfId="682" priority="739" stopIfTrue="1" operator="containsText" text="0.INTRO">
      <formula>NOT(ISERROR(SEARCH("0.INTRO",AH85)))</formula>
    </cfRule>
  </conditionalFormatting>
  <conditionalFormatting sqref="AH85:AH87">
    <cfRule type="containsText" dxfId="681" priority="738" operator="containsText" text="0. INTRO">
      <formula>NOT(ISERROR(SEARCH("0. INTRO",AH85)))</formula>
    </cfRule>
  </conditionalFormatting>
  <conditionalFormatting sqref="AH90:AH101">
    <cfRule type="containsText" dxfId="680" priority="737" stopIfTrue="1" operator="containsText" text="0.INTRO">
      <formula>NOT(ISERROR(SEARCH("0.INTRO",AH90)))</formula>
    </cfRule>
  </conditionalFormatting>
  <conditionalFormatting sqref="AH90:AH101">
    <cfRule type="containsText" dxfId="679" priority="736" operator="containsText" text="0. INTRO">
      <formula>NOT(ISERROR(SEARCH("0. INTRO",AH90)))</formula>
    </cfRule>
  </conditionalFormatting>
  <conditionalFormatting sqref="AH91">
    <cfRule type="containsText" dxfId="678" priority="733" operator="containsText" text="0. INTRO">
      <formula>NOT(ISERROR(SEARCH("0. INTRO",AH91)))</formula>
    </cfRule>
    <cfRule type="containsText" dxfId="677" priority="734" stopIfTrue="1" operator="containsText" text="0.INTRO">
      <formula>NOT(ISERROR(SEARCH("0.INTRO",AH91)))</formula>
    </cfRule>
    <cfRule type="expression" dxfId="676" priority="735" stopIfTrue="1">
      <formula>in_week</formula>
    </cfRule>
  </conditionalFormatting>
  <conditionalFormatting sqref="AH133:AH136">
    <cfRule type="containsText" dxfId="675" priority="728" operator="containsText" text="0. INTRO">
      <formula>NOT(ISERROR(SEARCH("0. INTRO",AH133)))</formula>
    </cfRule>
    <cfRule type="containsText" dxfId="674" priority="729" stopIfTrue="1" operator="containsText" text="0.INTRO">
      <formula>NOT(ISERROR(SEARCH("0.INTRO",AH133)))</formula>
    </cfRule>
    <cfRule type="expression" dxfId="673" priority="730" stopIfTrue="1">
      <formula>in_week</formula>
    </cfRule>
  </conditionalFormatting>
  <conditionalFormatting sqref="AH137:AH139">
    <cfRule type="containsText" dxfId="672" priority="725" operator="containsText" text="0. INTRO">
      <formula>NOT(ISERROR(SEARCH("0. INTRO",AH137)))</formula>
    </cfRule>
    <cfRule type="containsText" dxfId="671" priority="726" stopIfTrue="1" operator="containsText" text="0.INTRO">
      <formula>NOT(ISERROR(SEARCH("0.INTRO",AH137)))</formula>
    </cfRule>
    <cfRule type="expression" dxfId="670" priority="727" stopIfTrue="1">
      <formula>in_week</formula>
    </cfRule>
  </conditionalFormatting>
  <conditionalFormatting sqref="AH142:AH143">
    <cfRule type="containsText" dxfId="669" priority="720" operator="containsText" text="0. INTRO">
      <formula>NOT(ISERROR(SEARCH("0. INTRO",AH142)))</formula>
    </cfRule>
    <cfRule type="containsText" dxfId="668" priority="721" stopIfTrue="1" operator="containsText" text="0.INTRO">
      <formula>NOT(ISERROR(SEARCH("0.INTRO",AH142)))</formula>
    </cfRule>
    <cfRule type="expression" dxfId="667" priority="722" stopIfTrue="1">
      <formula>in_week</formula>
    </cfRule>
  </conditionalFormatting>
  <conditionalFormatting sqref="AH144">
    <cfRule type="containsText" dxfId="666" priority="717" operator="containsText" text="0. INTRO">
      <formula>NOT(ISERROR(SEARCH("0. INTRO",AH144)))</formula>
    </cfRule>
    <cfRule type="containsText" dxfId="665" priority="718" stopIfTrue="1" operator="containsText" text="0.INTRO">
      <formula>NOT(ISERROR(SEARCH("0.INTRO",AH144)))</formula>
    </cfRule>
    <cfRule type="expression" dxfId="664" priority="719" stopIfTrue="1">
      <formula>in_week</formula>
    </cfRule>
  </conditionalFormatting>
  <conditionalFormatting sqref="AH174:AI175">
    <cfRule type="containsText" dxfId="663" priority="716" stopIfTrue="1" operator="containsText" text="0.INTRO">
      <formula>NOT(ISERROR(SEARCH("0.INTRO",AH174)))</formula>
    </cfRule>
  </conditionalFormatting>
  <conditionalFormatting sqref="AH174:AI175">
    <cfRule type="containsText" dxfId="662" priority="715" operator="containsText" text="0. INTRO">
      <formula>NOT(ISERROR(SEARCH("0. INTRO",AH174)))</formula>
    </cfRule>
  </conditionalFormatting>
  <conditionalFormatting sqref="AH176:AI181 AH182:AH187">
    <cfRule type="containsText" dxfId="661" priority="714" stopIfTrue="1" operator="containsText" text="0.INTRO">
      <formula>NOT(ISERROR(SEARCH("0.INTRO",AH176)))</formula>
    </cfRule>
  </conditionalFormatting>
  <conditionalFormatting sqref="AH176:AI181 AH182:AH187">
    <cfRule type="containsText" dxfId="660" priority="713" operator="containsText" text="0. INTRO">
      <formula>NOT(ISERROR(SEARCH("0. INTRO",AH176)))</formula>
    </cfRule>
  </conditionalFormatting>
  <conditionalFormatting sqref="AH184">
    <cfRule type="containsText" dxfId="659" priority="710" operator="containsText" text="0. INTRO">
      <formula>NOT(ISERROR(SEARCH("0. INTRO",AH184)))</formula>
    </cfRule>
    <cfRule type="containsText" dxfId="658" priority="711" stopIfTrue="1" operator="containsText" text="0.INTRO">
      <formula>NOT(ISERROR(SEARCH("0.INTRO",AH184)))</formula>
    </cfRule>
    <cfRule type="expression" dxfId="657" priority="712" stopIfTrue="1">
      <formula>in_week</formula>
    </cfRule>
  </conditionalFormatting>
  <conditionalFormatting sqref="AH197">
    <cfRule type="containsText" dxfId="656" priority="705" operator="containsText" text="0. INTRO">
      <formula>NOT(ISERROR(SEARCH("0. INTRO",AH197)))</formula>
    </cfRule>
    <cfRule type="containsText" dxfId="655" priority="706" stopIfTrue="1" operator="containsText" text="0.INTRO">
      <formula>NOT(ISERROR(SEARCH("0.INTRO",AH197)))</formula>
    </cfRule>
    <cfRule type="expression" dxfId="654" priority="707" stopIfTrue="1">
      <formula>in_week</formula>
    </cfRule>
  </conditionalFormatting>
  <conditionalFormatting sqref="AH216">
    <cfRule type="containsText" dxfId="653" priority="700" operator="containsText" text="0. INTRO">
      <formula>NOT(ISERROR(SEARCH("0. INTRO",AH216)))</formula>
    </cfRule>
    <cfRule type="containsText" dxfId="652" priority="701" stopIfTrue="1" operator="containsText" text="0.INTRO">
      <formula>NOT(ISERROR(SEARCH("0.INTRO",AH216)))</formula>
    </cfRule>
    <cfRule type="expression" dxfId="651" priority="702" stopIfTrue="1">
      <formula>in_week</formula>
    </cfRule>
  </conditionalFormatting>
  <conditionalFormatting sqref="AH240:AH243">
    <cfRule type="containsText" dxfId="650" priority="699" stopIfTrue="1" operator="containsText" text="0.INTRO">
      <formula>NOT(ISERROR(SEARCH("0.INTRO",AH240)))</formula>
    </cfRule>
  </conditionalFormatting>
  <conditionalFormatting sqref="AH240:AH243">
    <cfRule type="containsText" dxfId="649" priority="698" operator="containsText" text="0. INTRO">
      <formula>NOT(ISERROR(SEARCH("0. INTRO",AH240)))</formula>
    </cfRule>
  </conditionalFormatting>
  <conditionalFormatting sqref="AH250:AH251">
    <cfRule type="containsText" dxfId="648" priority="697" stopIfTrue="1" operator="containsText" text="0.INTRO">
      <formula>NOT(ISERROR(SEARCH("0.INTRO",AH250)))</formula>
    </cfRule>
  </conditionalFormatting>
  <conditionalFormatting sqref="AH250:AH251">
    <cfRule type="containsText" dxfId="647" priority="696" operator="containsText" text="0. INTRO">
      <formula>NOT(ISERROR(SEARCH("0. INTRO",AH250)))</formula>
    </cfRule>
  </conditionalFormatting>
  <conditionalFormatting sqref="AH246:AI249 AI250:AI267">
    <cfRule type="containsText" dxfId="646" priority="695" stopIfTrue="1" operator="containsText" text="0.INTRO">
      <formula>NOT(ISERROR(SEARCH("0.INTRO",AH246)))</formula>
    </cfRule>
  </conditionalFormatting>
  <conditionalFormatting sqref="AH246:AI249 AI250:AI267">
    <cfRule type="containsText" dxfId="645" priority="694" operator="containsText" text="0. INTRO">
      <formula>NOT(ISERROR(SEARCH("0. INTRO",AH246)))</formula>
    </cfRule>
  </conditionalFormatting>
  <conditionalFormatting sqref="AH252:AH259">
    <cfRule type="containsText" dxfId="644" priority="693" stopIfTrue="1" operator="containsText" text="0.INTRO">
      <formula>NOT(ISERROR(SEARCH("0.INTRO",AH252)))</formula>
    </cfRule>
  </conditionalFormatting>
  <conditionalFormatting sqref="AH252:AH259">
    <cfRule type="containsText" dxfId="643" priority="692" operator="containsText" text="0. INTRO">
      <formula>NOT(ISERROR(SEARCH("0. INTRO",AH252)))</formula>
    </cfRule>
  </conditionalFormatting>
  <conditionalFormatting sqref="AH260:AH261">
    <cfRule type="expression" dxfId="642" priority="688">
      <formula>in_week</formula>
    </cfRule>
    <cfRule type="expression" dxfId="641" priority="689" stopIfTrue="1">
      <formula>in_week</formula>
    </cfRule>
  </conditionalFormatting>
  <conditionalFormatting sqref="AH260:AH267">
    <cfRule type="containsText" dxfId="640" priority="691" stopIfTrue="1" operator="containsText" text="0.INTRO">
      <formula>NOT(ISERROR(SEARCH("0.INTRO",AH260)))</formula>
    </cfRule>
  </conditionalFormatting>
  <conditionalFormatting sqref="AH260:AH267">
    <cfRule type="containsText" dxfId="639" priority="690" operator="containsText" text="0. INTRO">
      <formula>NOT(ISERROR(SEARCH("0. INTRO",AH260)))</formula>
    </cfRule>
  </conditionalFormatting>
  <conditionalFormatting sqref="AH112:AJ114">
    <cfRule type="expression" dxfId="638" priority="687" stopIfTrue="1">
      <formula>in_week</formula>
    </cfRule>
  </conditionalFormatting>
  <conditionalFormatting sqref="AH192:AN193">
    <cfRule type="expression" dxfId="637" priority="686" stopIfTrue="1">
      <formula>in_week</formula>
    </cfRule>
  </conditionalFormatting>
  <conditionalFormatting sqref="AG139">
    <cfRule type="containsText" dxfId="636" priority="685" stopIfTrue="1" operator="containsText" text="0.INTRO">
      <formula>NOT(ISERROR(SEARCH("0.INTRO",AG139)))</formula>
    </cfRule>
  </conditionalFormatting>
  <conditionalFormatting sqref="AG139">
    <cfRule type="containsText" dxfId="635" priority="681" operator="containsText" text="0. INTRO">
      <formula>NOT(ISERROR(SEARCH("0. INTRO",AG139)))</formula>
    </cfRule>
    <cfRule type="containsText" dxfId="634" priority="682" stopIfTrue="1" operator="containsText" text="0.INTRO">
      <formula>NOT(ISERROR(SEARCH("0.INTRO",AG139)))</formula>
    </cfRule>
    <cfRule type="expression" dxfId="633" priority="683" stopIfTrue="1">
      <formula>in_week</formula>
    </cfRule>
  </conditionalFormatting>
  <conditionalFormatting sqref="AG139">
    <cfRule type="containsText" dxfId="632" priority="684" operator="containsText" text="0. INTRO">
      <formula>NOT(ISERROR(SEARCH("0. INTRO",AG139)))</formula>
    </cfRule>
  </conditionalFormatting>
  <conditionalFormatting sqref="AG142:AG152">
    <cfRule type="containsText" dxfId="631" priority="680" stopIfTrue="1" operator="containsText" text="0.INTRO">
      <formula>NOT(ISERROR(SEARCH("0.INTRO",AG142)))</formula>
    </cfRule>
  </conditionalFormatting>
  <conditionalFormatting sqref="AG142:AG143 AG155">
    <cfRule type="containsText" dxfId="630" priority="676" operator="containsText" text="0. INTRO">
      <formula>NOT(ISERROR(SEARCH("0. INTRO",AG142)))</formula>
    </cfRule>
    <cfRule type="containsText" dxfId="629" priority="677" stopIfTrue="1" operator="containsText" text="0.INTRO">
      <formula>NOT(ISERROR(SEARCH("0.INTRO",AG142)))</formula>
    </cfRule>
    <cfRule type="expression" dxfId="628" priority="678" stopIfTrue="1">
      <formula>in_week</formula>
    </cfRule>
  </conditionalFormatting>
  <conditionalFormatting sqref="AG142:AG152">
    <cfRule type="containsText" dxfId="627" priority="679" operator="containsText" text="0. INTRO">
      <formula>NOT(ISERROR(SEARCH("0. INTRO",AG142)))</formula>
    </cfRule>
  </conditionalFormatting>
  <conditionalFormatting sqref="AG145:AG150">
    <cfRule type="containsText" dxfId="626" priority="670" operator="containsText" text="0. INTRO">
      <formula>NOT(ISERROR(SEARCH("0. INTRO",AG145)))</formula>
    </cfRule>
    <cfRule type="containsText" dxfId="625" priority="671" stopIfTrue="1" operator="containsText" text="0.INTRO">
      <formula>NOT(ISERROR(SEARCH("0.INTRO",AG145)))</formula>
    </cfRule>
    <cfRule type="expression" dxfId="624" priority="672" stopIfTrue="1">
      <formula>in_week</formula>
    </cfRule>
  </conditionalFormatting>
  <conditionalFormatting sqref="AG144">
    <cfRule type="containsText" dxfId="623" priority="673" operator="containsText" text="0. INTRO">
      <formula>NOT(ISERROR(SEARCH("0. INTRO",AG144)))</formula>
    </cfRule>
    <cfRule type="containsText" dxfId="622" priority="674" stopIfTrue="1" operator="containsText" text="0.INTRO">
      <formula>NOT(ISERROR(SEARCH("0.INTRO",AG144)))</formula>
    </cfRule>
    <cfRule type="expression" dxfId="621" priority="675" stopIfTrue="1">
      <formula>in_week</formula>
    </cfRule>
  </conditionalFormatting>
  <conditionalFormatting sqref="AG156">
    <cfRule type="containsText" dxfId="620" priority="661" operator="containsText" text="0. INTRO">
      <formula>NOT(ISERROR(SEARCH("0. INTRO",AG156)))</formula>
    </cfRule>
    <cfRule type="containsText" dxfId="619" priority="662" stopIfTrue="1" operator="containsText" text="0.INTRO">
      <formula>NOT(ISERROR(SEARCH("0.INTRO",AG156)))</formula>
    </cfRule>
    <cfRule type="expression" dxfId="618" priority="663" stopIfTrue="1">
      <formula>in_week</formula>
    </cfRule>
  </conditionalFormatting>
  <conditionalFormatting sqref="AG156">
    <cfRule type="containsText" dxfId="617" priority="658" operator="containsText" text="0. INTRO">
      <formula>NOT(ISERROR(SEARCH("0. INTRO",AG156)))</formula>
    </cfRule>
    <cfRule type="containsText" dxfId="616" priority="659" stopIfTrue="1" operator="containsText" text="0.INTRO">
      <formula>NOT(ISERROR(SEARCH("0.INTRO",AG156)))</formula>
    </cfRule>
    <cfRule type="expression" dxfId="615" priority="660" stopIfTrue="1">
      <formula>in_week</formula>
    </cfRule>
  </conditionalFormatting>
  <conditionalFormatting sqref="AG157">
    <cfRule type="containsText" dxfId="614" priority="655" operator="containsText" text="0. INTRO">
      <formula>NOT(ISERROR(SEARCH("0. INTRO",AG157)))</formula>
    </cfRule>
    <cfRule type="containsText" dxfId="613" priority="656" stopIfTrue="1" operator="containsText" text="0.INTRO">
      <formula>NOT(ISERROR(SEARCH("0.INTRO",AG157)))</formula>
    </cfRule>
    <cfRule type="expression" dxfId="612" priority="657" stopIfTrue="1">
      <formula>in_week</formula>
    </cfRule>
  </conditionalFormatting>
  <conditionalFormatting sqref="AG157">
    <cfRule type="containsText" dxfId="611" priority="652" operator="containsText" text="0. INTRO">
      <formula>NOT(ISERROR(SEARCH("0. INTRO",AG157)))</formula>
    </cfRule>
    <cfRule type="containsText" dxfId="610" priority="653" stopIfTrue="1" operator="containsText" text="0.INTRO">
      <formula>NOT(ISERROR(SEARCH("0.INTRO",AG157)))</formula>
    </cfRule>
    <cfRule type="expression" dxfId="609" priority="654" stopIfTrue="1">
      <formula>in_week</formula>
    </cfRule>
  </conditionalFormatting>
  <conditionalFormatting sqref="AG158">
    <cfRule type="containsText" dxfId="608" priority="649" operator="containsText" text="0. INTRO">
      <formula>NOT(ISERROR(SEARCH("0. INTRO",AG158)))</formula>
    </cfRule>
    <cfRule type="containsText" dxfId="607" priority="650" stopIfTrue="1" operator="containsText" text="0.INTRO">
      <formula>NOT(ISERROR(SEARCH("0.INTRO",AG158)))</formula>
    </cfRule>
    <cfRule type="expression" dxfId="606" priority="651" stopIfTrue="1">
      <formula>in_week</formula>
    </cfRule>
  </conditionalFormatting>
  <conditionalFormatting sqref="AG158">
    <cfRule type="containsText" dxfId="605" priority="646" operator="containsText" text="0. INTRO">
      <formula>NOT(ISERROR(SEARCH("0. INTRO",AG158)))</formula>
    </cfRule>
    <cfRule type="containsText" dxfId="604" priority="647" stopIfTrue="1" operator="containsText" text="0.INTRO">
      <formula>NOT(ISERROR(SEARCH("0.INTRO",AG158)))</formula>
    </cfRule>
    <cfRule type="expression" dxfId="603" priority="648" stopIfTrue="1">
      <formula>in_week</formula>
    </cfRule>
  </conditionalFormatting>
  <conditionalFormatting sqref="AI161:AI163 AI177:AI181">
    <cfRule type="containsText" dxfId="602" priority="643" operator="containsText" text="0. INTRO">
      <formula>NOT(ISERROR(SEARCH("0. INTRO",AI161)))</formula>
    </cfRule>
    <cfRule type="containsText" dxfId="601" priority="644" stopIfTrue="1" operator="containsText" text="0.INTRO">
      <formula>NOT(ISERROR(SEARCH("0.INTRO",AI161)))</formula>
    </cfRule>
    <cfRule type="expression" dxfId="600" priority="645" stopIfTrue="1">
      <formula>in_week</formula>
    </cfRule>
  </conditionalFormatting>
  <conditionalFormatting sqref="AI121:AI129">
    <cfRule type="containsText" dxfId="599" priority="640" stopIfTrue="1" operator="containsText" text="0.INTRO">
      <formula>NOT(ISERROR(SEARCH("0.INTRO",AI121)))</formula>
    </cfRule>
  </conditionalFormatting>
  <conditionalFormatting sqref="AI121:AI129">
    <cfRule type="containsText" dxfId="598" priority="639" operator="containsText" text="0. INTRO">
      <formula>NOT(ISERROR(SEARCH("0. INTRO",AI121)))</formula>
    </cfRule>
  </conditionalFormatting>
  <conditionalFormatting sqref="AI130:AI132">
    <cfRule type="containsText" dxfId="597" priority="636" operator="containsText" text="0. INTRO">
      <formula>NOT(ISERROR(SEARCH("0. INTRO",AI130)))</formula>
    </cfRule>
    <cfRule type="containsText" dxfId="596" priority="637" stopIfTrue="1" operator="containsText" text="0.INTRO">
      <formula>NOT(ISERROR(SEARCH("0.INTRO",AI130)))</formula>
    </cfRule>
    <cfRule type="expression" dxfId="595" priority="638" stopIfTrue="1">
      <formula>in_week</formula>
    </cfRule>
  </conditionalFormatting>
  <conditionalFormatting sqref="AI133 AI144">
    <cfRule type="containsText" dxfId="594" priority="635" stopIfTrue="1" operator="containsText" text="0.INTRO">
      <formula>NOT(ISERROR(SEARCH("0.INTRO",AI133)))</formula>
    </cfRule>
  </conditionalFormatting>
  <conditionalFormatting sqref="AI133 AI144">
    <cfRule type="containsText" dxfId="593" priority="631" operator="containsText" text="0. INTRO">
      <formula>NOT(ISERROR(SEARCH("0. INTRO",AI133)))</formula>
    </cfRule>
    <cfRule type="containsText" dxfId="592" priority="632" stopIfTrue="1" operator="containsText" text="0.INTRO">
      <formula>NOT(ISERROR(SEARCH("0.INTRO",AI133)))</formula>
    </cfRule>
    <cfRule type="expression" dxfId="591" priority="633" stopIfTrue="1">
      <formula>in_week</formula>
    </cfRule>
  </conditionalFormatting>
  <conditionalFormatting sqref="AI133 AI144">
    <cfRule type="containsText" dxfId="590" priority="634" operator="containsText" text="0. INTRO">
      <formula>NOT(ISERROR(SEARCH("0. INTRO",AI133)))</formula>
    </cfRule>
  </conditionalFormatting>
  <conditionalFormatting sqref="AI145:AI149">
    <cfRule type="containsText" dxfId="589" priority="627" stopIfTrue="1" operator="containsText" text="0.INTRO">
      <formula>NOT(ISERROR(SEARCH("0.INTRO",AI145)))</formula>
    </cfRule>
  </conditionalFormatting>
  <conditionalFormatting sqref="AI145:AI149">
    <cfRule type="containsText" dxfId="588" priority="623" operator="containsText" text="0. INTRO">
      <formula>NOT(ISERROR(SEARCH("0. INTRO",AI145)))</formula>
    </cfRule>
    <cfRule type="containsText" dxfId="587" priority="624" stopIfTrue="1" operator="containsText" text="0.INTRO">
      <formula>NOT(ISERROR(SEARCH("0.INTRO",AI145)))</formula>
    </cfRule>
    <cfRule type="expression" dxfId="586" priority="625" stopIfTrue="1">
      <formula>in_week</formula>
    </cfRule>
  </conditionalFormatting>
  <conditionalFormatting sqref="AI145:AI149">
    <cfRule type="containsText" dxfId="585" priority="626" operator="containsText" text="0. INTRO">
      <formula>NOT(ISERROR(SEARCH("0. INTRO",AI145)))</formula>
    </cfRule>
  </conditionalFormatting>
  <conditionalFormatting sqref="AI150">
    <cfRule type="containsText" dxfId="584" priority="622" stopIfTrue="1" operator="containsText" text="0.INTRO">
      <formula>NOT(ISERROR(SEARCH("0.INTRO",AI150)))</formula>
    </cfRule>
  </conditionalFormatting>
  <conditionalFormatting sqref="AI150">
    <cfRule type="containsText" dxfId="583" priority="621" operator="containsText" text="0. INTRO">
      <formula>NOT(ISERROR(SEARCH("0. INTRO",AI150)))</formula>
    </cfRule>
  </conditionalFormatting>
  <conditionalFormatting sqref="AI150">
    <cfRule type="containsText" dxfId="582" priority="618" operator="containsText" text="0. INTRO">
      <formula>NOT(ISERROR(SEARCH("0. INTRO",AI150)))</formula>
    </cfRule>
    <cfRule type="containsText" dxfId="581" priority="619" stopIfTrue="1" operator="containsText" text="0.INTRO">
      <formula>NOT(ISERROR(SEARCH("0.INTRO",AI150)))</formula>
    </cfRule>
    <cfRule type="expression" dxfId="580" priority="620" stopIfTrue="1">
      <formula>in_week</formula>
    </cfRule>
  </conditionalFormatting>
  <conditionalFormatting sqref="AI177:AI181">
    <cfRule type="containsText" dxfId="579" priority="615" operator="containsText" text="0. INTRO">
      <formula>NOT(ISERROR(SEARCH("0. INTRO",AI177)))</formula>
    </cfRule>
    <cfRule type="containsText" dxfId="578" priority="616" stopIfTrue="1" operator="containsText" text="0.INTRO">
      <formula>NOT(ISERROR(SEARCH("0.INTRO",AI177)))</formula>
    </cfRule>
    <cfRule type="expression" dxfId="577" priority="617" stopIfTrue="1">
      <formula>in_week</formula>
    </cfRule>
  </conditionalFormatting>
  <conditionalFormatting sqref="AI150">
    <cfRule type="containsText" dxfId="576" priority="614" stopIfTrue="1" operator="containsText" text="0.INTRO">
      <formula>NOT(ISERROR(SEARCH("0.INTRO",AI150)))</formula>
    </cfRule>
  </conditionalFormatting>
  <conditionalFormatting sqref="AI150">
    <cfRule type="containsText" dxfId="575" priority="610" operator="containsText" text="0. INTRO">
      <formula>NOT(ISERROR(SEARCH("0. INTRO",AI150)))</formula>
    </cfRule>
    <cfRule type="containsText" dxfId="574" priority="611" stopIfTrue="1" operator="containsText" text="0.INTRO">
      <formula>NOT(ISERROR(SEARCH("0.INTRO",AI150)))</formula>
    </cfRule>
    <cfRule type="expression" dxfId="573" priority="612" stopIfTrue="1">
      <formula>in_week</formula>
    </cfRule>
  </conditionalFormatting>
  <conditionalFormatting sqref="AI150">
    <cfRule type="containsText" dxfId="572" priority="613" operator="containsText" text="0. INTRO">
      <formula>NOT(ISERROR(SEARCH("0. INTRO",AI150)))</formula>
    </cfRule>
  </conditionalFormatting>
  <conditionalFormatting sqref="AI151:AI152 AI164">
    <cfRule type="containsText" dxfId="571" priority="605" operator="containsText" text="0. INTRO">
      <formula>NOT(ISERROR(SEARCH("0. INTRO",AI151)))</formula>
    </cfRule>
    <cfRule type="containsText" dxfId="570" priority="606" stopIfTrue="1" operator="containsText" text="0.INTRO">
      <formula>NOT(ISERROR(SEARCH("0.INTRO",AI151)))</formula>
    </cfRule>
    <cfRule type="expression" dxfId="569" priority="607" stopIfTrue="1">
      <formula>in_week</formula>
    </cfRule>
  </conditionalFormatting>
  <conditionalFormatting sqref="AI155:AI160">
    <cfRule type="containsText" dxfId="568" priority="599" operator="containsText" text="0. INTRO">
      <formula>NOT(ISERROR(SEARCH("0. INTRO",AI155)))</formula>
    </cfRule>
    <cfRule type="containsText" dxfId="567" priority="600" stopIfTrue="1" operator="containsText" text="0.INTRO">
      <formula>NOT(ISERROR(SEARCH("0.INTRO",AI155)))</formula>
    </cfRule>
    <cfRule type="expression" dxfId="566" priority="601" stopIfTrue="1">
      <formula>in_week</formula>
    </cfRule>
  </conditionalFormatting>
  <conditionalFormatting sqref="AI154">
    <cfRule type="containsText" dxfId="565" priority="602" operator="containsText" text="0. INTRO">
      <formula>NOT(ISERROR(SEARCH("0. INTRO",AI154)))</formula>
    </cfRule>
    <cfRule type="containsText" dxfId="564" priority="603" stopIfTrue="1" operator="containsText" text="0.INTRO">
      <formula>NOT(ISERROR(SEARCH("0.INTRO",AI154)))</formula>
    </cfRule>
    <cfRule type="expression" dxfId="563" priority="604" stopIfTrue="1">
      <formula>in_week</formula>
    </cfRule>
  </conditionalFormatting>
  <conditionalFormatting sqref="AI174">
    <cfRule type="containsText" dxfId="562" priority="596" operator="containsText" text="0. INTRO">
      <formula>NOT(ISERROR(SEARCH("0. INTRO",AI174)))</formula>
    </cfRule>
    <cfRule type="containsText" dxfId="561" priority="597" stopIfTrue="1" operator="containsText" text="0.INTRO">
      <formula>NOT(ISERROR(SEARCH("0.INTRO",AI174)))</formula>
    </cfRule>
    <cfRule type="expression" dxfId="560" priority="598" stopIfTrue="1">
      <formula>in_week</formula>
    </cfRule>
  </conditionalFormatting>
  <conditionalFormatting sqref="AI174">
    <cfRule type="containsText" dxfId="559" priority="593" operator="containsText" text="0. INTRO">
      <formula>NOT(ISERROR(SEARCH("0. INTRO",AI174)))</formula>
    </cfRule>
    <cfRule type="containsText" dxfId="558" priority="594" stopIfTrue="1" operator="containsText" text="0.INTRO">
      <formula>NOT(ISERROR(SEARCH("0.INTRO",AI174)))</formula>
    </cfRule>
    <cfRule type="expression" dxfId="557" priority="595" stopIfTrue="1">
      <formula>in_week</formula>
    </cfRule>
  </conditionalFormatting>
  <conditionalFormatting sqref="AI175">
    <cfRule type="containsText" dxfId="556" priority="590" operator="containsText" text="0. INTRO">
      <formula>NOT(ISERROR(SEARCH("0. INTRO",AI175)))</formula>
    </cfRule>
    <cfRule type="containsText" dxfId="555" priority="591" stopIfTrue="1" operator="containsText" text="0.INTRO">
      <formula>NOT(ISERROR(SEARCH("0.INTRO",AI175)))</formula>
    </cfRule>
    <cfRule type="expression" dxfId="554" priority="592" stopIfTrue="1">
      <formula>in_week</formula>
    </cfRule>
  </conditionalFormatting>
  <conditionalFormatting sqref="AI175">
    <cfRule type="containsText" dxfId="553" priority="587" operator="containsText" text="0. INTRO">
      <formula>NOT(ISERROR(SEARCH("0. INTRO",AI175)))</formula>
    </cfRule>
    <cfRule type="containsText" dxfId="552" priority="588" stopIfTrue="1" operator="containsText" text="0.INTRO">
      <formula>NOT(ISERROR(SEARCH("0.INTRO",AI175)))</formula>
    </cfRule>
    <cfRule type="expression" dxfId="551" priority="589" stopIfTrue="1">
      <formula>in_week</formula>
    </cfRule>
  </conditionalFormatting>
  <conditionalFormatting sqref="AI176">
    <cfRule type="containsText" dxfId="550" priority="584" operator="containsText" text="0. INTRO">
      <formula>NOT(ISERROR(SEARCH("0. INTRO",AI176)))</formula>
    </cfRule>
    <cfRule type="containsText" dxfId="549" priority="585" stopIfTrue="1" operator="containsText" text="0.INTRO">
      <formula>NOT(ISERROR(SEARCH("0.INTRO",AI176)))</formula>
    </cfRule>
    <cfRule type="expression" dxfId="548" priority="586" stopIfTrue="1">
      <formula>in_week</formula>
    </cfRule>
  </conditionalFormatting>
  <conditionalFormatting sqref="AI176">
    <cfRule type="containsText" dxfId="547" priority="581" operator="containsText" text="0. INTRO">
      <formula>NOT(ISERROR(SEARCH("0. INTRO",AI176)))</formula>
    </cfRule>
    <cfRule type="containsText" dxfId="546" priority="582" stopIfTrue="1" operator="containsText" text="0.INTRO">
      <formula>NOT(ISERROR(SEARCH("0.INTRO",AI176)))</formula>
    </cfRule>
    <cfRule type="expression" dxfId="545" priority="583" stopIfTrue="1">
      <formula>in_week</formula>
    </cfRule>
  </conditionalFormatting>
  <conditionalFormatting sqref="AJ78:AJ82">
    <cfRule type="containsText" dxfId="544" priority="576" stopIfTrue="1" operator="containsText" text="0.INTRO">
      <formula>NOT(ISERROR(SEARCH("0.INTRO",AJ78)))</formula>
    </cfRule>
  </conditionalFormatting>
  <conditionalFormatting sqref="AJ78:AJ82">
    <cfRule type="containsText" dxfId="543" priority="575" operator="containsText" text="0. INTRO">
      <formula>NOT(ISERROR(SEARCH("0. INTRO",AJ78)))</formula>
    </cfRule>
  </conditionalFormatting>
  <conditionalFormatting sqref="AJ92:AJ95">
    <cfRule type="containsText" dxfId="542" priority="572" stopIfTrue="1" operator="containsText" text="0.INTRO">
      <formula>NOT(ISERROR(SEARCH("0.INTRO",AJ92)))</formula>
    </cfRule>
  </conditionalFormatting>
  <conditionalFormatting sqref="AJ92:AJ95">
    <cfRule type="containsText" dxfId="541" priority="571" operator="containsText" text="0. INTRO">
      <formula>NOT(ISERROR(SEARCH("0. INTRO",AJ92)))</formula>
    </cfRule>
  </conditionalFormatting>
  <conditionalFormatting sqref="AJ96:AJ98">
    <cfRule type="containsText" dxfId="540" priority="570" stopIfTrue="1" operator="containsText" text="0.INTRO">
      <formula>NOT(ISERROR(SEARCH("0.INTRO",AJ96)))</formula>
    </cfRule>
  </conditionalFormatting>
  <conditionalFormatting sqref="AJ96:AJ98">
    <cfRule type="containsText" dxfId="539" priority="569" operator="containsText" text="0. INTRO">
      <formula>NOT(ISERROR(SEARCH("0. INTRO",AJ96)))</formula>
    </cfRule>
  </conditionalFormatting>
  <conditionalFormatting sqref="AJ100">
    <cfRule type="containsText" dxfId="538" priority="564" operator="containsText" text="0. INTRO">
      <formula>NOT(ISERROR(SEARCH("0. INTRO",AJ100)))</formula>
    </cfRule>
    <cfRule type="containsText" dxfId="537" priority="565" stopIfTrue="1" operator="containsText" text="0.INTRO">
      <formula>NOT(ISERROR(SEARCH("0.INTRO",AJ100)))</formula>
    </cfRule>
    <cfRule type="expression" dxfId="536" priority="566" stopIfTrue="1">
      <formula>in_week</formula>
    </cfRule>
  </conditionalFormatting>
  <conditionalFormatting sqref="AJ144:AJ147">
    <cfRule type="containsText" dxfId="535" priority="561" operator="containsText" text="0. INTRO">
      <formula>NOT(ISERROR(SEARCH("0. INTRO",AJ144)))</formula>
    </cfRule>
    <cfRule type="containsText" dxfId="534" priority="562" stopIfTrue="1" operator="containsText" text="0.INTRO">
      <formula>NOT(ISERROR(SEARCH("0.INTRO",AJ144)))</formula>
    </cfRule>
    <cfRule type="expression" dxfId="533" priority="563" stopIfTrue="1">
      <formula>in_week</formula>
    </cfRule>
  </conditionalFormatting>
  <conditionalFormatting sqref="AJ148:AJ150">
    <cfRule type="containsText" dxfId="532" priority="558" operator="containsText" text="0. INTRO">
      <formula>NOT(ISERROR(SEARCH("0. INTRO",AJ148)))</formula>
    </cfRule>
    <cfRule type="containsText" dxfId="531" priority="559" stopIfTrue="1" operator="containsText" text="0.INTRO">
      <formula>NOT(ISERROR(SEARCH("0.INTRO",AJ148)))</formula>
    </cfRule>
    <cfRule type="expression" dxfId="530" priority="560" stopIfTrue="1">
      <formula>in_week</formula>
    </cfRule>
  </conditionalFormatting>
  <conditionalFormatting sqref="AJ151:AJ152">
    <cfRule type="containsText" dxfId="529" priority="555" operator="containsText" text="0. INTRO">
      <formula>NOT(ISERROR(SEARCH("0. INTRO",AJ151)))</formula>
    </cfRule>
    <cfRule type="containsText" dxfId="528" priority="556" stopIfTrue="1" operator="containsText" text="0.INTRO">
      <formula>NOT(ISERROR(SEARCH("0.INTRO",AJ151)))</formula>
    </cfRule>
    <cfRule type="expression" dxfId="527" priority="557" stopIfTrue="1">
      <formula>in_week</formula>
    </cfRule>
  </conditionalFormatting>
  <conditionalFormatting sqref="AJ154">
    <cfRule type="containsText" dxfId="526" priority="552" operator="containsText" text="0. INTRO">
      <formula>NOT(ISERROR(SEARCH("0. INTRO",AJ154)))</formula>
    </cfRule>
    <cfRule type="containsText" dxfId="525" priority="553" stopIfTrue="1" operator="containsText" text="0.INTRO">
      <formula>NOT(ISERROR(SEARCH("0.INTRO",AJ154)))</formula>
    </cfRule>
    <cfRule type="expression" dxfId="524" priority="554" stopIfTrue="1">
      <formula>in_week</formula>
    </cfRule>
  </conditionalFormatting>
  <conditionalFormatting sqref="AJ183:AJ184">
    <cfRule type="containsText" dxfId="523" priority="551" stopIfTrue="1" operator="containsText" text="0.INTRO">
      <formula>NOT(ISERROR(SEARCH("0.INTRO",AJ183)))</formula>
    </cfRule>
  </conditionalFormatting>
  <conditionalFormatting sqref="AJ183:AJ184">
    <cfRule type="containsText" dxfId="522" priority="550" operator="containsText" text="0. INTRO">
      <formula>NOT(ISERROR(SEARCH("0. INTRO",AJ183)))</formula>
    </cfRule>
  </conditionalFormatting>
  <conditionalFormatting sqref="AJ195">
    <cfRule type="containsText" dxfId="521" priority="545" operator="containsText" text="0. INTRO">
      <formula>NOT(ISERROR(SEARCH("0. INTRO",AJ195)))</formula>
    </cfRule>
    <cfRule type="containsText" dxfId="520" priority="546" stopIfTrue="1" operator="containsText" text="0.INTRO">
      <formula>NOT(ISERROR(SEARCH("0.INTRO",AJ195)))</formula>
    </cfRule>
    <cfRule type="expression" dxfId="519" priority="547" stopIfTrue="1">
      <formula>in_week</formula>
    </cfRule>
  </conditionalFormatting>
  <conditionalFormatting sqref="AJ206">
    <cfRule type="containsText" dxfId="518" priority="542" operator="containsText" text="0. INTRO">
      <formula>NOT(ISERROR(SEARCH("0. INTRO",AJ206)))</formula>
    </cfRule>
    <cfRule type="containsText" dxfId="517" priority="543" stopIfTrue="1" operator="containsText" text="0.INTRO">
      <formula>NOT(ISERROR(SEARCH("0.INTRO",AJ206)))</formula>
    </cfRule>
    <cfRule type="expression" dxfId="516" priority="544" stopIfTrue="1">
      <formula>in_week</formula>
    </cfRule>
  </conditionalFormatting>
  <conditionalFormatting sqref="AJ234">
    <cfRule type="containsText" dxfId="515" priority="539" operator="containsText" text="0. INTRO">
      <formula>NOT(ISERROR(SEARCH("0. INTRO",AJ234)))</formula>
    </cfRule>
    <cfRule type="containsText" dxfId="514" priority="540" stopIfTrue="1" operator="containsText" text="0.INTRO">
      <formula>NOT(ISERROR(SEARCH("0.INTRO",AJ234)))</formula>
    </cfRule>
    <cfRule type="expression" dxfId="513" priority="541" stopIfTrue="1">
      <formula>in_week</formula>
    </cfRule>
  </conditionalFormatting>
  <conditionalFormatting sqref="AJ251:AJ254">
    <cfRule type="containsText" dxfId="512" priority="538" stopIfTrue="1" operator="containsText" text="0.INTRO">
      <formula>NOT(ISERROR(SEARCH("0.INTRO",AJ251)))</formula>
    </cfRule>
  </conditionalFormatting>
  <conditionalFormatting sqref="AJ251:AJ254">
    <cfRule type="containsText" dxfId="511" priority="537" operator="containsText" text="0. INTRO">
      <formula>NOT(ISERROR(SEARCH("0. INTRO",AJ251)))</formula>
    </cfRule>
  </conditionalFormatting>
  <conditionalFormatting sqref="AJ259:AJ260">
    <cfRule type="containsText" dxfId="510" priority="536" stopIfTrue="1" operator="containsText" text="0.INTRO">
      <formula>NOT(ISERROR(SEARCH("0.INTRO",AJ259)))</formula>
    </cfRule>
  </conditionalFormatting>
  <conditionalFormatting sqref="AJ259:AJ260">
    <cfRule type="containsText" dxfId="509" priority="535" operator="containsText" text="0. INTRO">
      <formula>NOT(ISERROR(SEARCH("0. INTRO",AJ259)))</formula>
    </cfRule>
  </conditionalFormatting>
  <conditionalFormatting sqref="AJ255:AJ258">
    <cfRule type="containsText" dxfId="508" priority="534" stopIfTrue="1" operator="containsText" text="0.INTRO">
      <formula>NOT(ISERROR(SEARCH("0.INTRO",AJ255)))</formula>
    </cfRule>
  </conditionalFormatting>
  <conditionalFormatting sqref="AJ255:AJ258">
    <cfRule type="containsText" dxfId="507" priority="533" operator="containsText" text="0. INTRO">
      <formula>NOT(ISERROR(SEARCH("0. INTRO",AJ255)))</formula>
    </cfRule>
  </conditionalFormatting>
  <conditionalFormatting sqref="AJ278:AJ279">
    <cfRule type="expression" dxfId="506" priority="527">
      <formula>in_week</formula>
    </cfRule>
    <cfRule type="expression" dxfId="505" priority="528" stopIfTrue="1">
      <formula>in_week</formula>
    </cfRule>
  </conditionalFormatting>
  <conditionalFormatting sqref="AJ278:AJ285">
    <cfRule type="containsText" dxfId="504" priority="530" stopIfTrue="1" operator="containsText" text="0.INTRO">
      <formula>NOT(ISERROR(SEARCH("0.INTRO",AJ278)))</formula>
    </cfRule>
  </conditionalFormatting>
  <conditionalFormatting sqref="AJ278:AJ285">
    <cfRule type="containsText" dxfId="503" priority="529" operator="containsText" text="0. INTRO">
      <formula>NOT(ISERROR(SEARCH("0. INTRO",AJ278)))</formula>
    </cfRule>
  </conditionalFormatting>
  <conditionalFormatting sqref="C253:C307">
    <cfRule type="expression" dxfId="502" priority="524" stopIfTrue="1">
      <formula>in_week</formula>
    </cfRule>
  </conditionalFormatting>
  <conditionalFormatting sqref="C253:C307">
    <cfRule type="expression" dxfId="501" priority="523">
      <formula>in_week</formula>
    </cfRule>
  </conditionalFormatting>
  <conditionalFormatting sqref="B253:B307">
    <cfRule type="expression" dxfId="500" priority="522" stopIfTrue="1">
      <formula>in_week</formula>
    </cfRule>
  </conditionalFormatting>
  <conditionalFormatting sqref="B253:B307">
    <cfRule type="expression" dxfId="499" priority="521">
      <formula>in_week</formula>
    </cfRule>
  </conditionalFormatting>
  <conditionalFormatting sqref="AB103">
    <cfRule type="containsText" dxfId="498" priority="520" stopIfTrue="1" operator="containsText" text="0.INTRO">
      <formula>NOT(ISERROR(SEARCH("0.INTRO",AB103)))</formula>
    </cfRule>
  </conditionalFormatting>
  <conditionalFormatting sqref="AB103">
    <cfRule type="containsText" dxfId="497" priority="519" operator="containsText" text="0. INTRO">
      <formula>NOT(ISERROR(SEARCH("0. INTRO",AB103)))</formula>
    </cfRule>
  </conditionalFormatting>
  <conditionalFormatting sqref="AB103">
    <cfRule type="containsText" dxfId="496" priority="516" operator="containsText" text="0. INTRO">
      <formula>NOT(ISERROR(SEARCH("0. INTRO",AB103)))</formula>
    </cfRule>
    <cfRule type="containsText" dxfId="495" priority="517" stopIfTrue="1" operator="containsText" text="0.INTRO">
      <formula>NOT(ISERROR(SEARCH("0.INTRO",AB103)))</formula>
    </cfRule>
    <cfRule type="expression" dxfId="494" priority="518" stopIfTrue="1">
      <formula>in_week</formula>
    </cfRule>
  </conditionalFormatting>
  <conditionalFormatting sqref="AB130">
    <cfRule type="containsText" dxfId="493" priority="513" operator="containsText" text="0. INTRO">
      <formula>NOT(ISERROR(SEARCH("0. INTRO",AB130)))</formula>
    </cfRule>
    <cfRule type="containsText" dxfId="492" priority="514" stopIfTrue="1" operator="containsText" text="0.INTRO">
      <formula>NOT(ISERROR(SEARCH("0.INTRO",AB130)))</formula>
    </cfRule>
    <cfRule type="expression" dxfId="491" priority="515" stopIfTrue="1">
      <formula>in_week</formula>
    </cfRule>
  </conditionalFormatting>
  <conditionalFormatting sqref="W78">
    <cfRule type="containsText" dxfId="490" priority="510" operator="containsText" text="0. INTRO">
      <formula>NOT(ISERROR(SEARCH("0. INTRO",W78)))</formula>
    </cfRule>
    <cfRule type="containsText" dxfId="489" priority="511" stopIfTrue="1" operator="containsText" text="0.INTRO">
      <formula>NOT(ISERROR(SEARCH("0.INTRO",W78)))</formula>
    </cfRule>
    <cfRule type="expression" dxfId="488" priority="512" stopIfTrue="1">
      <formula>in_week</formula>
    </cfRule>
  </conditionalFormatting>
  <conditionalFormatting sqref="AK90:AK99">
    <cfRule type="expression" dxfId="487" priority="509" stopIfTrue="1">
      <formula>in_week</formula>
    </cfRule>
  </conditionalFormatting>
  <conditionalFormatting sqref="AK90:AK99">
    <cfRule type="containsText" dxfId="486" priority="508" stopIfTrue="1" operator="containsText" text="0.INTRO">
      <formula>NOT(ISERROR(SEARCH("0.INTRO",AK90)))</formula>
    </cfRule>
  </conditionalFormatting>
  <conditionalFormatting sqref="AK90:AK99">
    <cfRule type="containsText" dxfId="485" priority="507" operator="containsText" text="0. INTRO">
      <formula>NOT(ISERROR(SEARCH("0. INTRO",AK90)))</formula>
    </cfRule>
  </conditionalFormatting>
  <conditionalFormatting sqref="AK100:AK101">
    <cfRule type="expression" dxfId="484" priority="506" stopIfTrue="1">
      <formula>in_week</formula>
    </cfRule>
  </conditionalFormatting>
  <conditionalFormatting sqref="AK100:AK101">
    <cfRule type="containsText" dxfId="483" priority="505" stopIfTrue="1" operator="containsText" text="0.INTRO">
      <formula>NOT(ISERROR(SEARCH("0.INTRO",AK100)))</formula>
    </cfRule>
  </conditionalFormatting>
  <conditionalFormatting sqref="AK100:AK101">
    <cfRule type="containsText" dxfId="482" priority="504" operator="containsText" text="0. INTRO">
      <formula>NOT(ISERROR(SEARCH("0. INTRO",AK100)))</formula>
    </cfRule>
  </conditionalFormatting>
  <conditionalFormatting sqref="AK131:AK139">
    <cfRule type="containsText" dxfId="481" priority="500" stopIfTrue="1" operator="containsText" text="0.INTRO">
      <formula>NOT(ISERROR(SEARCH("0.INTRO",AK131)))</formula>
    </cfRule>
  </conditionalFormatting>
  <conditionalFormatting sqref="AK131:AK139">
    <cfRule type="containsText" dxfId="480" priority="499" operator="containsText" text="0. INTRO">
      <formula>NOT(ISERROR(SEARCH("0. INTRO",AK131)))</formula>
    </cfRule>
  </conditionalFormatting>
  <conditionalFormatting sqref="AK112:AU120">
    <cfRule type="expression" dxfId="479" priority="498" stopIfTrue="1">
      <formula>in_week</formula>
    </cfRule>
  </conditionalFormatting>
  <conditionalFormatting sqref="AL90:AL99">
    <cfRule type="expression" dxfId="478" priority="497" stopIfTrue="1">
      <formula>in_week</formula>
    </cfRule>
  </conditionalFormatting>
  <conditionalFormatting sqref="AL95:AL99">
    <cfRule type="containsText" dxfId="477" priority="496" stopIfTrue="1" operator="containsText" text="0.INTRO">
      <formula>NOT(ISERROR(SEARCH("0.INTRO",AL95)))</formula>
    </cfRule>
  </conditionalFormatting>
  <conditionalFormatting sqref="AL95:AL99">
    <cfRule type="containsText" dxfId="476" priority="495" operator="containsText" text="0. INTRO">
      <formula>NOT(ISERROR(SEARCH("0. INTRO",AL95)))</formula>
    </cfRule>
  </conditionalFormatting>
  <conditionalFormatting sqref="AL90:AL94">
    <cfRule type="containsText" dxfId="475" priority="494" stopIfTrue="1" operator="containsText" text="0.INTRO">
      <formula>NOT(ISERROR(SEARCH("0.INTRO",AL90)))</formula>
    </cfRule>
  </conditionalFormatting>
  <conditionalFormatting sqref="AL90:AL94">
    <cfRule type="containsText" dxfId="474" priority="493" operator="containsText" text="0. INTRO">
      <formula>NOT(ISERROR(SEARCH("0. INTRO",AL90)))</formula>
    </cfRule>
  </conditionalFormatting>
  <conditionalFormatting sqref="AL100:AL101">
    <cfRule type="expression" dxfId="473" priority="492" stopIfTrue="1">
      <formula>in_week</formula>
    </cfRule>
  </conditionalFormatting>
  <conditionalFormatting sqref="AL100:AL101">
    <cfRule type="containsText" dxfId="472" priority="491" stopIfTrue="1" operator="containsText" text="0.INTRO">
      <formula>NOT(ISERROR(SEARCH("0.INTRO",AL100)))</formula>
    </cfRule>
  </conditionalFormatting>
  <conditionalFormatting sqref="AL100:AL101">
    <cfRule type="containsText" dxfId="471" priority="490" operator="containsText" text="0. INTRO">
      <formula>NOT(ISERROR(SEARCH("0. INTRO",AL100)))</formula>
    </cfRule>
  </conditionalFormatting>
  <conditionalFormatting sqref="AL103:AL106">
    <cfRule type="containsText" dxfId="470" priority="486" stopIfTrue="1" operator="containsText" text="0.INTRO">
      <formula>NOT(ISERROR(SEARCH("0.INTRO",AL103)))</formula>
    </cfRule>
  </conditionalFormatting>
  <conditionalFormatting sqref="AL103:AL106">
    <cfRule type="containsText" dxfId="469" priority="485" operator="containsText" text="0. INTRO">
      <formula>NOT(ISERROR(SEARCH("0. INTRO",AL103)))</formula>
    </cfRule>
  </conditionalFormatting>
  <conditionalFormatting sqref="AL107:AL109">
    <cfRule type="containsText" dxfId="468" priority="484" stopIfTrue="1" operator="containsText" text="0.INTRO">
      <formula>NOT(ISERROR(SEARCH("0.INTRO",AL107)))</formula>
    </cfRule>
  </conditionalFormatting>
  <conditionalFormatting sqref="AL107:AL109">
    <cfRule type="containsText" dxfId="467" priority="483" operator="containsText" text="0. INTRO">
      <formula>NOT(ISERROR(SEARCH("0. INTRO",AL107)))</formula>
    </cfRule>
  </conditionalFormatting>
  <conditionalFormatting sqref="AL111">
    <cfRule type="containsText" dxfId="466" priority="480" operator="containsText" text="0. INTRO">
      <formula>NOT(ISERROR(SEARCH("0. INTRO",AL111)))</formula>
    </cfRule>
    <cfRule type="containsText" dxfId="465" priority="481" stopIfTrue="1" operator="containsText" text="0.INTRO">
      <formula>NOT(ISERROR(SEARCH("0.INTRO",AL111)))</formula>
    </cfRule>
    <cfRule type="expression" dxfId="464" priority="482" stopIfTrue="1">
      <formula>in_week</formula>
    </cfRule>
  </conditionalFormatting>
  <conditionalFormatting sqref="AL131:AL135">
    <cfRule type="containsText" dxfId="463" priority="479" stopIfTrue="1" operator="containsText" text="0.INTRO">
      <formula>NOT(ISERROR(SEARCH("0.INTRO",AL131)))</formula>
    </cfRule>
  </conditionalFormatting>
  <conditionalFormatting sqref="AL131:AL135">
    <cfRule type="containsText" dxfId="462" priority="478" operator="containsText" text="0. INTRO">
      <formula>NOT(ISERROR(SEARCH("0. INTRO",AL131)))</formula>
    </cfRule>
  </conditionalFormatting>
  <conditionalFormatting sqref="AL136:AL139">
    <cfRule type="containsText" dxfId="461" priority="477" stopIfTrue="1" operator="containsText" text="0.INTRO">
      <formula>NOT(ISERROR(SEARCH("0.INTRO",AL136)))</formula>
    </cfRule>
  </conditionalFormatting>
  <conditionalFormatting sqref="AL136:AL139">
    <cfRule type="containsText" dxfId="460" priority="476" operator="containsText" text="0. INTRO">
      <formula>NOT(ISERROR(SEARCH("0. INTRO",AL136)))</formula>
    </cfRule>
  </conditionalFormatting>
  <conditionalFormatting sqref="AL142:AL151">
    <cfRule type="expression" dxfId="459" priority="475" stopIfTrue="1">
      <formula>in_week</formula>
    </cfRule>
  </conditionalFormatting>
  <conditionalFormatting sqref="AL142:AL151">
    <cfRule type="containsText" dxfId="458" priority="474" stopIfTrue="1" operator="containsText" text="0.INTRO">
      <formula>NOT(ISERROR(SEARCH("0.INTRO",AL142)))</formula>
    </cfRule>
  </conditionalFormatting>
  <conditionalFormatting sqref="AL142:AL151">
    <cfRule type="containsText" dxfId="457" priority="473" operator="containsText" text="0. INTRO">
      <formula>NOT(ISERROR(SEARCH("0. INTRO",AL142)))</formula>
    </cfRule>
  </conditionalFormatting>
  <conditionalFormatting sqref="AL152">
    <cfRule type="expression" dxfId="456" priority="472" stopIfTrue="1">
      <formula>in_week</formula>
    </cfRule>
  </conditionalFormatting>
  <conditionalFormatting sqref="AL152">
    <cfRule type="containsText" dxfId="455" priority="471" stopIfTrue="1" operator="containsText" text="0.INTRO">
      <formula>NOT(ISERROR(SEARCH("0.INTRO",AL152)))</formula>
    </cfRule>
  </conditionalFormatting>
  <conditionalFormatting sqref="AL152">
    <cfRule type="containsText" dxfId="454" priority="470" operator="containsText" text="0. INTRO">
      <formula>NOT(ISERROR(SEARCH("0. INTRO",AL152)))</formula>
    </cfRule>
  </conditionalFormatting>
  <conditionalFormatting sqref="AL154:AL163">
    <cfRule type="expression" dxfId="453" priority="469" stopIfTrue="1">
      <formula>in_week</formula>
    </cfRule>
  </conditionalFormatting>
  <conditionalFormatting sqref="AL154:AL163">
    <cfRule type="containsText" dxfId="452" priority="468" stopIfTrue="1" operator="containsText" text="0.INTRO">
      <formula>NOT(ISERROR(SEARCH("0.INTRO",AL154)))</formula>
    </cfRule>
  </conditionalFormatting>
  <conditionalFormatting sqref="AL154:AL163">
    <cfRule type="containsText" dxfId="451" priority="467" operator="containsText" text="0. INTRO">
      <formula>NOT(ISERROR(SEARCH("0. INTRO",AL154)))</formula>
    </cfRule>
  </conditionalFormatting>
  <conditionalFormatting sqref="AL155:AL158">
    <cfRule type="containsText" dxfId="450" priority="464" operator="containsText" text="0. INTRO">
      <formula>NOT(ISERROR(SEARCH("0. INTRO",AL155)))</formula>
    </cfRule>
    <cfRule type="containsText" dxfId="449" priority="465" stopIfTrue="1" operator="containsText" text="0.INTRO">
      <formula>NOT(ISERROR(SEARCH("0.INTRO",AL155)))</formula>
    </cfRule>
    <cfRule type="expression" dxfId="448" priority="466" stopIfTrue="1">
      <formula>in_week</formula>
    </cfRule>
  </conditionalFormatting>
  <conditionalFormatting sqref="AL159:AL161">
    <cfRule type="containsText" dxfId="447" priority="461" operator="containsText" text="0. INTRO">
      <formula>NOT(ISERROR(SEARCH("0. INTRO",AL159)))</formula>
    </cfRule>
    <cfRule type="containsText" dxfId="446" priority="462" stopIfTrue="1" operator="containsText" text="0.INTRO">
      <formula>NOT(ISERROR(SEARCH("0.INTRO",AL159)))</formula>
    </cfRule>
    <cfRule type="expression" dxfId="445" priority="463" stopIfTrue="1">
      <formula>in_week</formula>
    </cfRule>
  </conditionalFormatting>
  <conditionalFormatting sqref="AL162:AL163">
    <cfRule type="containsText" dxfId="444" priority="458" operator="containsText" text="0. INTRO">
      <formula>NOT(ISERROR(SEARCH("0. INTRO",AL162)))</formula>
    </cfRule>
    <cfRule type="containsText" dxfId="443" priority="459" stopIfTrue="1" operator="containsText" text="0.INTRO">
      <formula>NOT(ISERROR(SEARCH("0.INTRO",AL162)))</formula>
    </cfRule>
    <cfRule type="expression" dxfId="442" priority="460" stopIfTrue="1">
      <formula>in_week</formula>
    </cfRule>
  </conditionalFormatting>
  <conditionalFormatting sqref="AL164">
    <cfRule type="expression" dxfId="441" priority="457" stopIfTrue="1">
      <formula>in_week</formula>
    </cfRule>
  </conditionalFormatting>
  <conditionalFormatting sqref="AL164">
    <cfRule type="containsText" dxfId="440" priority="456" stopIfTrue="1" operator="containsText" text="0.INTRO">
      <formula>NOT(ISERROR(SEARCH("0.INTRO",AL164)))</formula>
    </cfRule>
  </conditionalFormatting>
  <conditionalFormatting sqref="AL164">
    <cfRule type="containsText" dxfId="439" priority="455" operator="containsText" text="0. INTRO">
      <formula>NOT(ISERROR(SEARCH("0. INTRO",AL164)))</formula>
    </cfRule>
  </conditionalFormatting>
  <conditionalFormatting sqref="AL164">
    <cfRule type="containsText" dxfId="438" priority="452" operator="containsText" text="0. INTRO">
      <formula>NOT(ISERROR(SEARCH("0. INTRO",AL164)))</formula>
    </cfRule>
    <cfRule type="containsText" dxfId="437" priority="453" stopIfTrue="1" operator="containsText" text="0.INTRO">
      <formula>NOT(ISERROR(SEARCH("0.INTRO",AL164)))</formula>
    </cfRule>
    <cfRule type="expression" dxfId="436" priority="454" stopIfTrue="1">
      <formula>in_week</formula>
    </cfRule>
  </conditionalFormatting>
  <conditionalFormatting sqref="AL174:AL183">
    <cfRule type="expression" dxfId="435" priority="451" stopIfTrue="1">
      <formula>in_week</formula>
    </cfRule>
  </conditionalFormatting>
  <conditionalFormatting sqref="AL174:AL183">
    <cfRule type="containsText" dxfId="434" priority="450" stopIfTrue="1" operator="containsText" text="0.INTRO">
      <formula>NOT(ISERROR(SEARCH("0.INTRO",AL174)))</formula>
    </cfRule>
  </conditionalFormatting>
  <conditionalFormatting sqref="AL174:AL183">
    <cfRule type="containsText" dxfId="433" priority="449" operator="containsText" text="0. INTRO">
      <formula>NOT(ISERROR(SEARCH("0. INTRO",AL174)))</formula>
    </cfRule>
  </conditionalFormatting>
  <conditionalFormatting sqref="AL184:AL191">
    <cfRule type="expression" dxfId="432" priority="448" stopIfTrue="1">
      <formula>in_week</formula>
    </cfRule>
  </conditionalFormatting>
  <conditionalFormatting sqref="AL184:AL191">
    <cfRule type="containsText" dxfId="431" priority="447" stopIfTrue="1" operator="containsText" text="0.INTRO">
      <formula>NOT(ISERROR(SEARCH("0.INTRO",AL184)))</formula>
    </cfRule>
  </conditionalFormatting>
  <conditionalFormatting sqref="AL184:AL191">
    <cfRule type="containsText" dxfId="430" priority="446" operator="containsText" text="0. INTRO">
      <formula>NOT(ISERROR(SEARCH("0. INTRO",AL184)))</formula>
    </cfRule>
  </conditionalFormatting>
  <conditionalFormatting sqref="AK143:AK149">
    <cfRule type="expression" dxfId="429" priority="445" stopIfTrue="1">
      <formula>in_week</formula>
    </cfRule>
  </conditionalFormatting>
  <conditionalFormatting sqref="AK147:AK149">
    <cfRule type="containsText" dxfId="428" priority="442" operator="containsText" text="0. INTRO">
      <formula>NOT(ISERROR(SEARCH("0. INTRO",AK147)))</formula>
    </cfRule>
    <cfRule type="containsText" dxfId="427" priority="443" stopIfTrue="1" operator="containsText" text="0.INTRO">
      <formula>NOT(ISERROR(SEARCH("0.INTRO",AK147)))</formula>
    </cfRule>
    <cfRule type="expression" dxfId="426" priority="444" stopIfTrue="1">
      <formula>in_week</formula>
    </cfRule>
  </conditionalFormatting>
  <conditionalFormatting sqref="AK143:AK145">
    <cfRule type="containsText" dxfId="425" priority="439" operator="containsText" text="0. INTRO">
      <formula>NOT(ISERROR(SEARCH("0. INTRO",AK143)))</formula>
    </cfRule>
    <cfRule type="containsText" dxfId="424" priority="440" stopIfTrue="1" operator="containsText" text="0.INTRO">
      <formula>NOT(ISERROR(SEARCH("0.INTRO",AK143)))</formula>
    </cfRule>
    <cfRule type="expression" dxfId="423" priority="441" stopIfTrue="1">
      <formula>in_week</formula>
    </cfRule>
  </conditionalFormatting>
  <conditionalFormatting sqref="AK146">
    <cfRule type="containsText" dxfId="422" priority="438" stopIfTrue="1" operator="containsText" text="0.INTRO">
      <formula>NOT(ISERROR(SEARCH("0.INTRO",AK146)))</formula>
    </cfRule>
  </conditionalFormatting>
  <conditionalFormatting sqref="AK146">
    <cfRule type="containsText" dxfId="421" priority="434" operator="containsText" text="0. INTRO">
      <formula>NOT(ISERROR(SEARCH("0. INTRO",AK146)))</formula>
    </cfRule>
    <cfRule type="containsText" dxfId="420" priority="435" stopIfTrue="1" operator="containsText" text="0.INTRO">
      <formula>NOT(ISERROR(SEARCH("0.INTRO",AK146)))</formula>
    </cfRule>
    <cfRule type="expression" dxfId="419" priority="436" stopIfTrue="1">
      <formula>in_week</formula>
    </cfRule>
  </conditionalFormatting>
  <conditionalFormatting sqref="AK146">
    <cfRule type="containsText" dxfId="418" priority="437" operator="containsText" text="0. INTRO">
      <formula>NOT(ISERROR(SEARCH("0. INTRO",AK146)))</formula>
    </cfRule>
  </conditionalFormatting>
  <conditionalFormatting sqref="AK150:AK152">
    <cfRule type="expression" dxfId="417" priority="433" stopIfTrue="1">
      <formula>in_week</formula>
    </cfRule>
  </conditionalFormatting>
  <conditionalFormatting sqref="AK150:AK152">
    <cfRule type="containsText" dxfId="416" priority="430" operator="containsText" text="0. INTRO">
      <formula>NOT(ISERROR(SEARCH("0. INTRO",AK150)))</formula>
    </cfRule>
    <cfRule type="containsText" dxfId="415" priority="431" stopIfTrue="1" operator="containsText" text="0.INTRO">
      <formula>NOT(ISERROR(SEARCH("0.INTRO",AK150)))</formula>
    </cfRule>
    <cfRule type="expression" dxfId="414" priority="432" stopIfTrue="1">
      <formula>in_week</formula>
    </cfRule>
  </conditionalFormatting>
  <conditionalFormatting sqref="AK154:AK164">
    <cfRule type="expression" dxfId="413" priority="429" stopIfTrue="1">
      <formula>in_week</formula>
    </cfRule>
  </conditionalFormatting>
  <conditionalFormatting sqref="AK163:AK164">
    <cfRule type="containsText" dxfId="412" priority="428" stopIfTrue="1" operator="containsText" text="0.INTRO">
      <formula>NOT(ISERROR(SEARCH("0.INTRO",AK163)))</formula>
    </cfRule>
  </conditionalFormatting>
  <conditionalFormatting sqref="AK154:AK155">
    <cfRule type="containsText" dxfId="411" priority="424" operator="containsText" text="0. INTRO">
      <formula>NOT(ISERROR(SEARCH("0. INTRO",AK154)))</formula>
    </cfRule>
    <cfRule type="containsText" dxfId="410" priority="425" stopIfTrue="1" operator="containsText" text="0.INTRO">
      <formula>NOT(ISERROR(SEARCH("0.INTRO",AK154)))</formula>
    </cfRule>
    <cfRule type="expression" dxfId="409" priority="426" stopIfTrue="1">
      <formula>in_week</formula>
    </cfRule>
  </conditionalFormatting>
  <conditionalFormatting sqref="AK163:AK164">
    <cfRule type="containsText" dxfId="408" priority="427" operator="containsText" text="0. INTRO">
      <formula>NOT(ISERROR(SEARCH("0. INTRO",AK163)))</formula>
    </cfRule>
  </conditionalFormatting>
  <conditionalFormatting sqref="AK156">
    <cfRule type="containsText" dxfId="407" priority="423" stopIfTrue="1" operator="containsText" text="0.INTRO">
      <formula>NOT(ISERROR(SEARCH("0.INTRO",AK156)))</formula>
    </cfRule>
  </conditionalFormatting>
  <conditionalFormatting sqref="AK156">
    <cfRule type="containsText" dxfId="406" priority="419" operator="containsText" text="0. INTRO">
      <formula>NOT(ISERROR(SEARCH("0. INTRO",AK156)))</formula>
    </cfRule>
    <cfRule type="containsText" dxfId="405" priority="420" stopIfTrue="1" operator="containsText" text="0.INTRO">
      <formula>NOT(ISERROR(SEARCH("0.INTRO",AK156)))</formula>
    </cfRule>
    <cfRule type="expression" dxfId="404" priority="421" stopIfTrue="1">
      <formula>in_week</formula>
    </cfRule>
  </conditionalFormatting>
  <conditionalFormatting sqref="AK156">
    <cfRule type="containsText" dxfId="403" priority="422" operator="containsText" text="0. INTRO">
      <formula>NOT(ISERROR(SEARCH("0. INTRO",AK156)))</formula>
    </cfRule>
  </conditionalFormatting>
  <conditionalFormatting sqref="AK157:AK161">
    <cfRule type="containsText" dxfId="402" priority="418" stopIfTrue="1" operator="containsText" text="0.INTRO">
      <formula>NOT(ISERROR(SEARCH("0.INTRO",AK157)))</formula>
    </cfRule>
  </conditionalFormatting>
  <conditionalFormatting sqref="AK157:AK161">
    <cfRule type="containsText" dxfId="401" priority="414" operator="containsText" text="0. INTRO">
      <formula>NOT(ISERROR(SEARCH("0. INTRO",AK157)))</formula>
    </cfRule>
    <cfRule type="containsText" dxfId="400" priority="415" stopIfTrue="1" operator="containsText" text="0.INTRO">
      <formula>NOT(ISERROR(SEARCH("0.INTRO",AK157)))</formula>
    </cfRule>
    <cfRule type="expression" dxfId="399" priority="416" stopIfTrue="1">
      <formula>in_week</formula>
    </cfRule>
  </conditionalFormatting>
  <conditionalFormatting sqref="AK157:AK161">
    <cfRule type="containsText" dxfId="398" priority="417" operator="containsText" text="0. INTRO">
      <formula>NOT(ISERROR(SEARCH("0. INTRO",AK157)))</formula>
    </cfRule>
  </conditionalFormatting>
  <conditionalFormatting sqref="AK162">
    <cfRule type="containsText" dxfId="397" priority="413" stopIfTrue="1" operator="containsText" text="0.INTRO">
      <formula>NOT(ISERROR(SEARCH("0.INTRO",AK162)))</formula>
    </cfRule>
  </conditionalFormatting>
  <conditionalFormatting sqref="AK162">
    <cfRule type="containsText" dxfId="396" priority="412" operator="containsText" text="0. INTRO">
      <formula>NOT(ISERROR(SEARCH("0. INTRO",AK162)))</formula>
    </cfRule>
  </conditionalFormatting>
  <conditionalFormatting sqref="AK162">
    <cfRule type="containsText" dxfId="395" priority="409" operator="containsText" text="0. INTRO">
      <formula>NOT(ISERROR(SEARCH("0. INTRO",AK162)))</formula>
    </cfRule>
    <cfRule type="containsText" dxfId="394" priority="410" stopIfTrue="1" operator="containsText" text="0.INTRO">
      <formula>NOT(ISERROR(SEARCH("0.INTRO",AK162)))</formula>
    </cfRule>
    <cfRule type="expression" dxfId="393" priority="411" stopIfTrue="1">
      <formula>in_week</formula>
    </cfRule>
  </conditionalFormatting>
  <conditionalFormatting sqref="AK162">
    <cfRule type="containsText" dxfId="392" priority="408" stopIfTrue="1" operator="containsText" text="0.INTRO">
      <formula>NOT(ISERROR(SEARCH("0.INTRO",AK162)))</formula>
    </cfRule>
  </conditionalFormatting>
  <conditionalFormatting sqref="AK162">
    <cfRule type="containsText" dxfId="391" priority="404" operator="containsText" text="0. INTRO">
      <formula>NOT(ISERROR(SEARCH("0. INTRO",AK162)))</formula>
    </cfRule>
    <cfRule type="containsText" dxfId="390" priority="405" stopIfTrue="1" operator="containsText" text="0.INTRO">
      <formula>NOT(ISERROR(SEARCH("0.INTRO",AK162)))</formula>
    </cfRule>
    <cfRule type="expression" dxfId="389" priority="406" stopIfTrue="1">
      <formula>in_week</formula>
    </cfRule>
  </conditionalFormatting>
  <conditionalFormatting sqref="AK162">
    <cfRule type="containsText" dxfId="388" priority="407" operator="containsText" text="0. INTRO">
      <formula>NOT(ISERROR(SEARCH("0. INTRO",AK162)))</formula>
    </cfRule>
  </conditionalFormatting>
  <conditionalFormatting sqref="AK163:AK164">
    <cfRule type="containsText" dxfId="387" priority="401" operator="containsText" text="0. INTRO">
      <formula>NOT(ISERROR(SEARCH("0. INTRO",AK163)))</formula>
    </cfRule>
    <cfRule type="containsText" dxfId="386" priority="402" stopIfTrue="1" operator="containsText" text="0.INTRO">
      <formula>NOT(ISERROR(SEARCH("0.INTRO",AK163)))</formula>
    </cfRule>
    <cfRule type="expression" dxfId="385" priority="403" stopIfTrue="1">
      <formula>in_week</formula>
    </cfRule>
  </conditionalFormatting>
  <conditionalFormatting sqref="AK180:AK182">
    <cfRule type="containsText" dxfId="384" priority="395" operator="containsText" text="0. INTRO">
      <formula>NOT(ISERROR(SEARCH("0. INTRO",AK180)))</formula>
    </cfRule>
    <cfRule type="containsText" dxfId="383" priority="396" stopIfTrue="1" operator="containsText" text="0.INTRO">
      <formula>NOT(ISERROR(SEARCH("0.INTRO",AK180)))</formula>
    </cfRule>
    <cfRule type="expression" dxfId="382" priority="397" stopIfTrue="1">
      <formula>in_week</formula>
    </cfRule>
  </conditionalFormatting>
  <conditionalFormatting sqref="AK183">
    <cfRule type="containsText" dxfId="381" priority="392" operator="containsText" text="0. INTRO">
      <formula>NOT(ISERROR(SEARCH("0. INTRO",AK183)))</formula>
    </cfRule>
    <cfRule type="containsText" dxfId="380" priority="393" stopIfTrue="1" operator="containsText" text="0.INTRO">
      <formula>NOT(ISERROR(SEARCH("0.INTRO",AK183)))</formula>
    </cfRule>
    <cfRule type="expression" dxfId="379" priority="394" stopIfTrue="1">
      <formula>in_week</formula>
    </cfRule>
  </conditionalFormatting>
  <conditionalFormatting sqref="AK174:AK179">
    <cfRule type="containsText" dxfId="378" priority="386" operator="containsText" text="0. INTRO">
      <formula>NOT(ISERROR(SEARCH("0. INTRO",AK174)))</formula>
    </cfRule>
    <cfRule type="containsText" dxfId="377" priority="387" stopIfTrue="1" operator="containsText" text="0.INTRO">
      <formula>NOT(ISERROR(SEARCH("0.INTRO",AK174)))</formula>
    </cfRule>
    <cfRule type="expression" dxfId="376" priority="388" stopIfTrue="1">
      <formula>in_week</formula>
    </cfRule>
  </conditionalFormatting>
  <conditionalFormatting sqref="AK165">
    <cfRule type="containsText" dxfId="375" priority="389" operator="containsText" text="0. INTRO">
      <formula>NOT(ISERROR(SEARCH("0. INTRO",AK165)))</formula>
    </cfRule>
    <cfRule type="containsText" dxfId="374" priority="390" stopIfTrue="1" operator="containsText" text="0.INTRO">
      <formula>NOT(ISERROR(SEARCH("0.INTRO",AK165)))</formula>
    </cfRule>
    <cfRule type="expression" dxfId="373" priority="391" stopIfTrue="1">
      <formula>in_week</formula>
    </cfRule>
  </conditionalFormatting>
  <conditionalFormatting sqref="AK184:AK191">
    <cfRule type="expression" dxfId="372" priority="385" stopIfTrue="1">
      <formula>in_week</formula>
    </cfRule>
  </conditionalFormatting>
  <conditionalFormatting sqref="AK184:AK185">
    <cfRule type="containsText" dxfId="371" priority="384" stopIfTrue="1" operator="containsText" text="0.INTRO">
      <formula>NOT(ISERROR(SEARCH("0.INTRO",AK184)))</formula>
    </cfRule>
  </conditionalFormatting>
  <conditionalFormatting sqref="AK184:AK185">
    <cfRule type="containsText" dxfId="370" priority="383" operator="containsText" text="0. INTRO">
      <formula>NOT(ISERROR(SEARCH("0. INTRO",AK184)))</formula>
    </cfRule>
  </conditionalFormatting>
  <conditionalFormatting sqref="AK186:AK191">
    <cfRule type="containsText" dxfId="369" priority="382" stopIfTrue="1" operator="containsText" text="0.INTRO">
      <formula>NOT(ISERROR(SEARCH("0.INTRO",AK186)))</formula>
    </cfRule>
  </conditionalFormatting>
  <conditionalFormatting sqref="AK186:AK191">
    <cfRule type="containsText" dxfId="368" priority="381" operator="containsText" text="0. INTRO">
      <formula>NOT(ISERROR(SEARCH("0. INTRO",AK186)))</formula>
    </cfRule>
  </conditionalFormatting>
  <conditionalFormatting sqref="AK187:AK191">
    <cfRule type="containsText" dxfId="367" priority="378" operator="containsText" text="0. INTRO">
      <formula>NOT(ISERROR(SEARCH("0. INTRO",AK187)))</formula>
    </cfRule>
    <cfRule type="containsText" dxfId="366" priority="379" stopIfTrue="1" operator="containsText" text="0.INTRO">
      <formula>NOT(ISERROR(SEARCH("0.INTRO",AK187)))</formula>
    </cfRule>
    <cfRule type="expression" dxfId="365" priority="380" stopIfTrue="1">
      <formula>in_week</formula>
    </cfRule>
  </conditionalFormatting>
  <conditionalFormatting sqref="AK187:AK191">
    <cfRule type="containsText" dxfId="364" priority="375" operator="containsText" text="0. INTRO">
      <formula>NOT(ISERROR(SEARCH("0. INTRO",AK187)))</formula>
    </cfRule>
    <cfRule type="containsText" dxfId="363" priority="376" stopIfTrue="1" operator="containsText" text="0.INTRO">
      <formula>NOT(ISERROR(SEARCH("0.INTRO",AK187)))</formula>
    </cfRule>
    <cfRule type="expression" dxfId="362" priority="377" stopIfTrue="1">
      <formula>in_week</formula>
    </cfRule>
  </conditionalFormatting>
  <conditionalFormatting sqref="AK184">
    <cfRule type="containsText" dxfId="361" priority="372" operator="containsText" text="0. INTRO">
      <formula>NOT(ISERROR(SEARCH("0. INTRO",AK184)))</formula>
    </cfRule>
    <cfRule type="containsText" dxfId="360" priority="373" stopIfTrue="1" operator="containsText" text="0.INTRO">
      <formula>NOT(ISERROR(SEARCH("0.INTRO",AK184)))</formula>
    </cfRule>
    <cfRule type="expression" dxfId="359" priority="374" stopIfTrue="1">
      <formula>in_week</formula>
    </cfRule>
  </conditionalFormatting>
  <conditionalFormatting sqref="AK184">
    <cfRule type="containsText" dxfId="358" priority="369" operator="containsText" text="0. INTRO">
      <formula>NOT(ISERROR(SEARCH("0. INTRO",AK184)))</formula>
    </cfRule>
    <cfRule type="containsText" dxfId="357" priority="370" stopIfTrue="1" operator="containsText" text="0.INTRO">
      <formula>NOT(ISERROR(SEARCH("0.INTRO",AK184)))</formula>
    </cfRule>
    <cfRule type="expression" dxfId="356" priority="371" stopIfTrue="1">
      <formula>in_week</formula>
    </cfRule>
  </conditionalFormatting>
  <conditionalFormatting sqref="AK185">
    <cfRule type="containsText" dxfId="355" priority="366" operator="containsText" text="0. INTRO">
      <formula>NOT(ISERROR(SEARCH("0. INTRO",AK185)))</formula>
    </cfRule>
    <cfRule type="containsText" dxfId="354" priority="367" stopIfTrue="1" operator="containsText" text="0.INTRO">
      <formula>NOT(ISERROR(SEARCH("0.INTRO",AK185)))</formula>
    </cfRule>
    <cfRule type="expression" dxfId="353" priority="368" stopIfTrue="1">
      <formula>in_week</formula>
    </cfRule>
  </conditionalFormatting>
  <conditionalFormatting sqref="AK185">
    <cfRule type="containsText" dxfId="352" priority="363" operator="containsText" text="0. INTRO">
      <formula>NOT(ISERROR(SEARCH("0. INTRO",AK185)))</formula>
    </cfRule>
    <cfRule type="containsText" dxfId="351" priority="364" stopIfTrue="1" operator="containsText" text="0.INTRO">
      <formula>NOT(ISERROR(SEARCH("0.INTRO",AK185)))</formula>
    </cfRule>
    <cfRule type="expression" dxfId="350" priority="365" stopIfTrue="1">
      <formula>in_week</formula>
    </cfRule>
  </conditionalFormatting>
  <conditionalFormatting sqref="AK186">
    <cfRule type="containsText" dxfId="349" priority="360" operator="containsText" text="0. INTRO">
      <formula>NOT(ISERROR(SEARCH("0. INTRO",AK186)))</formula>
    </cfRule>
    <cfRule type="containsText" dxfId="348" priority="361" stopIfTrue="1" operator="containsText" text="0.INTRO">
      <formula>NOT(ISERROR(SEARCH("0.INTRO",AK186)))</formula>
    </cfRule>
    <cfRule type="expression" dxfId="347" priority="362" stopIfTrue="1">
      <formula>in_week</formula>
    </cfRule>
  </conditionalFormatting>
  <conditionalFormatting sqref="AK186">
    <cfRule type="containsText" dxfId="346" priority="357" operator="containsText" text="0. INTRO">
      <formula>NOT(ISERROR(SEARCH("0. INTRO",AK186)))</formula>
    </cfRule>
    <cfRule type="containsText" dxfId="345" priority="358" stopIfTrue="1" operator="containsText" text="0.INTRO">
      <formula>NOT(ISERROR(SEARCH("0.INTRO",AK186)))</formula>
    </cfRule>
    <cfRule type="expression" dxfId="344" priority="359" stopIfTrue="1">
      <formula>in_week</formula>
    </cfRule>
  </conditionalFormatting>
  <conditionalFormatting sqref="AL194:AL195">
    <cfRule type="containsText" dxfId="343" priority="356" stopIfTrue="1" operator="containsText" text="0.INTRO">
      <formula>NOT(ISERROR(SEARCH("0.INTRO",AL194)))</formula>
    </cfRule>
  </conditionalFormatting>
  <conditionalFormatting sqref="AL194:AL195">
    <cfRule type="containsText" dxfId="342" priority="355" operator="containsText" text="0. INTRO">
      <formula>NOT(ISERROR(SEARCH("0. INTRO",AL194)))</formula>
    </cfRule>
  </conditionalFormatting>
  <conditionalFormatting sqref="AL196:AL207">
    <cfRule type="containsText" dxfId="341" priority="354" stopIfTrue="1" operator="containsText" text="0.INTRO">
      <formula>NOT(ISERROR(SEARCH("0.INTRO",AL196)))</formula>
    </cfRule>
  </conditionalFormatting>
  <conditionalFormatting sqref="AL196:AL207">
    <cfRule type="containsText" dxfId="340" priority="353" operator="containsText" text="0. INTRO">
      <formula>NOT(ISERROR(SEARCH("0. INTRO",AL196)))</formula>
    </cfRule>
  </conditionalFormatting>
  <conditionalFormatting sqref="AL204">
    <cfRule type="containsText" dxfId="339" priority="350" operator="containsText" text="0. INTRO">
      <formula>NOT(ISERROR(SEARCH("0. INTRO",AL204)))</formula>
    </cfRule>
    <cfRule type="containsText" dxfId="338" priority="351" stopIfTrue="1" operator="containsText" text="0.INTRO">
      <formula>NOT(ISERROR(SEARCH("0.INTRO",AL204)))</formula>
    </cfRule>
    <cfRule type="expression" dxfId="337" priority="352" stopIfTrue="1">
      <formula>in_week</formula>
    </cfRule>
  </conditionalFormatting>
  <conditionalFormatting sqref="AL241">
    <cfRule type="containsText" dxfId="336" priority="344" operator="containsText" text="0. INTRO">
      <formula>NOT(ISERROR(SEARCH("0. INTRO",AL241)))</formula>
    </cfRule>
    <cfRule type="containsText" dxfId="335" priority="345" stopIfTrue="1" operator="containsText" text="0.INTRO">
      <formula>NOT(ISERROR(SEARCH("0.INTRO",AL241)))</formula>
    </cfRule>
    <cfRule type="expression" dxfId="334" priority="346" stopIfTrue="1">
      <formula>in_week</formula>
    </cfRule>
  </conditionalFormatting>
  <conditionalFormatting sqref="AL262:AL263">
    <cfRule type="containsText" dxfId="333" priority="332" stopIfTrue="1" operator="containsText" text="0.INTRO">
      <formula>NOT(ISERROR(SEARCH("0.INTRO",AL262)))</formula>
    </cfRule>
  </conditionalFormatting>
  <conditionalFormatting sqref="AL262:AL263">
    <cfRule type="containsText" dxfId="332" priority="331" operator="containsText" text="0. INTRO">
      <formula>NOT(ISERROR(SEARCH("0. INTRO",AL262)))</formula>
    </cfRule>
  </conditionalFormatting>
  <conditionalFormatting sqref="AL286">
    <cfRule type="expression" dxfId="331" priority="325">
      <formula>in_week</formula>
    </cfRule>
    <cfRule type="expression" dxfId="330" priority="326" stopIfTrue="1">
      <formula>in_week</formula>
    </cfRule>
  </conditionalFormatting>
  <conditionalFormatting sqref="AL286">
    <cfRule type="containsText" dxfId="329" priority="328" stopIfTrue="1" operator="containsText" text="0.INTRO">
      <formula>NOT(ISERROR(SEARCH("0.INTRO",AL286)))</formula>
    </cfRule>
  </conditionalFormatting>
  <conditionalFormatting sqref="AL286">
    <cfRule type="containsText" dxfId="328" priority="327" operator="containsText" text="0. INTRO">
      <formula>NOT(ISERROR(SEARCH("0. INTRO",AL286)))</formula>
    </cfRule>
  </conditionalFormatting>
  <conditionalFormatting sqref="AM99:AM101">
    <cfRule type="expression" dxfId="327" priority="321" stopIfTrue="1">
      <formula>in_week</formula>
    </cfRule>
  </conditionalFormatting>
  <conditionalFormatting sqref="AM99:AM101">
    <cfRule type="containsText" dxfId="326" priority="320" stopIfTrue="1" operator="containsText" text="0.INTRO">
      <formula>NOT(ISERROR(SEARCH("0.INTRO",AM99)))</formula>
    </cfRule>
  </conditionalFormatting>
  <conditionalFormatting sqref="AM99:AM101">
    <cfRule type="containsText" dxfId="325" priority="319" operator="containsText" text="0. INTRO">
      <formula>NOT(ISERROR(SEARCH("0. INTRO",AM99)))</formula>
    </cfRule>
  </conditionalFormatting>
  <conditionalFormatting sqref="AM103:AM109">
    <cfRule type="expression" dxfId="324" priority="318" stopIfTrue="1">
      <formula>in_week</formula>
    </cfRule>
  </conditionalFormatting>
  <conditionalFormatting sqref="AM103:AM109">
    <cfRule type="containsText" dxfId="323" priority="317" stopIfTrue="1" operator="containsText" text="0.INTRO">
      <formula>NOT(ISERROR(SEARCH("0.INTRO",AM103)))</formula>
    </cfRule>
  </conditionalFormatting>
  <conditionalFormatting sqref="AM103:AM109">
    <cfRule type="containsText" dxfId="322" priority="316" operator="containsText" text="0. INTRO">
      <formula>NOT(ISERROR(SEARCH("0. INTRO",AM103)))</formula>
    </cfRule>
  </conditionalFormatting>
  <conditionalFormatting sqref="AM110:AM111">
    <cfRule type="expression" dxfId="321" priority="315" stopIfTrue="1">
      <formula>in_week</formula>
    </cfRule>
  </conditionalFormatting>
  <conditionalFormatting sqref="AM110:AM111">
    <cfRule type="containsText" dxfId="320" priority="314" stopIfTrue="1" operator="containsText" text="0.INTRO">
      <formula>NOT(ISERROR(SEARCH("0.INTRO",AM110)))</formula>
    </cfRule>
  </conditionalFormatting>
  <conditionalFormatting sqref="AM110:AM111">
    <cfRule type="containsText" dxfId="319" priority="313" operator="containsText" text="0. INTRO">
      <formula>NOT(ISERROR(SEARCH("0. INTRO",AM110)))</formula>
    </cfRule>
  </conditionalFormatting>
  <conditionalFormatting sqref="AM121:AM129">
    <cfRule type="expression" dxfId="318" priority="312" stopIfTrue="1">
      <formula>in_week</formula>
    </cfRule>
  </conditionalFormatting>
  <conditionalFormatting sqref="AM121:AM129">
    <cfRule type="containsText" dxfId="317" priority="311" stopIfTrue="1" operator="containsText" text="0.INTRO">
      <formula>NOT(ISERROR(SEARCH("0.INTRO",AM121)))</formula>
    </cfRule>
  </conditionalFormatting>
  <conditionalFormatting sqref="AM121:AM129">
    <cfRule type="containsText" dxfId="316" priority="310" operator="containsText" text="0. INTRO">
      <formula>NOT(ISERROR(SEARCH("0. INTRO",AM121)))</formula>
    </cfRule>
  </conditionalFormatting>
  <conditionalFormatting sqref="AM130:AM134">
    <cfRule type="expression" dxfId="315" priority="309" stopIfTrue="1">
      <formula>in_week</formula>
    </cfRule>
  </conditionalFormatting>
  <conditionalFormatting sqref="AM130:AM134">
    <cfRule type="containsText" dxfId="314" priority="308" stopIfTrue="1" operator="containsText" text="0.INTRO">
      <formula>NOT(ISERROR(SEARCH("0.INTRO",AM130)))</formula>
    </cfRule>
  </conditionalFormatting>
  <conditionalFormatting sqref="AM130:AM134">
    <cfRule type="containsText" dxfId="313" priority="307" operator="containsText" text="0. INTRO">
      <formula>NOT(ISERROR(SEARCH("0. INTRO",AM130)))</formula>
    </cfRule>
  </conditionalFormatting>
  <conditionalFormatting sqref="AM135:AM139">
    <cfRule type="containsText" dxfId="312" priority="306" stopIfTrue="1" operator="containsText" text="0.INTRO">
      <formula>NOT(ISERROR(SEARCH("0.INTRO",AM135)))</formula>
    </cfRule>
  </conditionalFormatting>
  <conditionalFormatting sqref="AM135:AM139">
    <cfRule type="containsText" dxfId="311" priority="305" operator="containsText" text="0. INTRO">
      <formula>NOT(ISERROR(SEARCH("0. INTRO",AM135)))</formula>
    </cfRule>
  </conditionalFormatting>
  <conditionalFormatting sqref="AM142">
    <cfRule type="containsText" dxfId="310" priority="304" stopIfTrue="1" operator="containsText" text="0.INTRO">
      <formula>NOT(ISERROR(SEARCH("0.INTRO",AM142)))</formula>
    </cfRule>
  </conditionalFormatting>
  <conditionalFormatting sqref="AM142">
    <cfRule type="containsText" dxfId="309" priority="303" operator="containsText" text="0. INTRO">
      <formula>NOT(ISERROR(SEARCH("0. INTRO",AM142)))</formula>
    </cfRule>
  </conditionalFormatting>
  <conditionalFormatting sqref="AM143:AM150">
    <cfRule type="containsText" dxfId="308" priority="302" stopIfTrue="1" operator="containsText" text="0.INTRO">
      <formula>NOT(ISERROR(SEARCH("0.INTRO",AM143)))</formula>
    </cfRule>
  </conditionalFormatting>
  <conditionalFormatting sqref="AM143:AM150">
    <cfRule type="containsText" dxfId="307" priority="301" operator="containsText" text="0. INTRO">
      <formula>NOT(ISERROR(SEARCH("0. INTRO",AM143)))</formula>
    </cfRule>
  </conditionalFormatting>
  <conditionalFormatting sqref="AM152">
    <cfRule type="expression" dxfId="306" priority="300" stopIfTrue="1">
      <formula>in_week</formula>
    </cfRule>
  </conditionalFormatting>
  <conditionalFormatting sqref="AM152">
    <cfRule type="containsText" dxfId="305" priority="297" operator="containsText" text="0. INTRO">
      <formula>NOT(ISERROR(SEARCH("0. INTRO",AM152)))</formula>
    </cfRule>
    <cfRule type="containsText" dxfId="304" priority="298" stopIfTrue="1" operator="containsText" text="0.INTRO">
      <formula>NOT(ISERROR(SEARCH("0.INTRO",AM152)))</formula>
    </cfRule>
    <cfRule type="expression" dxfId="303" priority="299" stopIfTrue="1">
      <formula>in_week</formula>
    </cfRule>
  </conditionalFormatting>
  <conditionalFormatting sqref="AM154:AM159">
    <cfRule type="expression" dxfId="302" priority="296" stopIfTrue="1">
      <formula>in_week</formula>
    </cfRule>
  </conditionalFormatting>
  <conditionalFormatting sqref="AM157:AM159">
    <cfRule type="containsText" dxfId="301" priority="293" operator="containsText" text="0. INTRO">
      <formula>NOT(ISERROR(SEARCH("0. INTRO",AM157)))</formula>
    </cfRule>
    <cfRule type="containsText" dxfId="300" priority="294" stopIfTrue="1" operator="containsText" text="0.INTRO">
      <formula>NOT(ISERROR(SEARCH("0.INTRO",AM157)))</formula>
    </cfRule>
    <cfRule type="expression" dxfId="299" priority="295" stopIfTrue="1">
      <formula>in_week</formula>
    </cfRule>
  </conditionalFormatting>
  <conditionalFormatting sqref="AM154:AM155">
    <cfRule type="containsText" dxfId="298" priority="290" operator="containsText" text="0. INTRO">
      <formula>NOT(ISERROR(SEARCH("0. INTRO",AM154)))</formula>
    </cfRule>
    <cfRule type="containsText" dxfId="297" priority="291" stopIfTrue="1" operator="containsText" text="0.INTRO">
      <formula>NOT(ISERROR(SEARCH("0.INTRO",AM154)))</formula>
    </cfRule>
    <cfRule type="expression" dxfId="296" priority="292" stopIfTrue="1">
      <formula>in_week</formula>
    </cfRule>
  </conditionalFormatting>
  <conditionalFormatting sqref="AM156">
    <cfRule type="containsText" dxfId="295" priority="289" stopIfTrue="1" operator="containsText" text="0.INTRO">
      <formula>NOT(ISERROR(SEARCH("0.INTRO",AM156)))</formula>
    </cfRule>
  </conditionalFormatting>
  <conditionalFormatting sqref="AM156">
    <cfRule type="containsText" dxfId="294" priority="285" operator="containsText" text="0. INTRO">
      <formula>NOT(ISERROR(SEARCH("0. INTRO",AM156)))</formula>
    </cfRule>
    <cfRule type="containsText" dxfId="293" priority="286" stopIfTrue="1" operator="containsText" text="0.INTRO">
      <formula>NOT(ISERROR(SEARCH("0.INTRO",AM156)))</formula>
    </cfRule>
    <cfRule type="expression" dxfId="292" priority="287" stopIfTrue="1">
      <formula>in_week</formula>
    </cfRule>
  </conditionalFormatting>
  <conditionalFormatting sqref="AM156">
    <cfRule type="containsText" dxfId="291" priority="288" operator="containsText" text="0. INTRO">
      <formula>NOT(ISERROR(SEARCH("0. INTRO",AM156)))</formula>
    </cfRule>
  </conditionalFormatting>
  <conditionalFormatting sqref="AM160:AM162">
    <cfRule type="expression" dxfId="290" priority="284" stopIfTrue="1">
      <formula>in_week</formula>
    </cfRule>
  </conditionalFormatting>
  <conditionalFormatting sqref="AM160:AM162">
    <cfRule type="containsText" dxfId="289" priority="281" operator="containsText" text="0. INTRO">
      <formula>NOT(ISERROR(SEARCH("0. INTRO",AM160)))</formula>
    </cfRule>
    <cfRule type="containsText" dxfId="288" priority="282" stopIfTrue="1" operator="containsText" text="0.INTRO">
      <formula>NOT(ISERROR(SEARCH("0.INTRO",AM160)))</formula>
    </cfRule>
    <cfRule type="expression" dxfId="287" priority="283" stopIfTrue="1">
      <formula>in_week</formula>
    </cfRule>
  </conditionalFormatting>
  <conditionalFormatting sqref="AM163:AM165">
    <cfRule type="expression" dxfId="286" priority="280" stopIfTrue="1">
      <formula>in_week</formula>
    </cfRule>
  </conditionalFormatting>
  <conditionalFormatting sqref="AM163:AM164">
    <cfRule type="containsText" dxfId="285" priority="277" operator="containsText" text="0. INTRO">
      <formula>NOT(ISERROR(SEARCH("0. INTRO",AM163)))</formula>
    </cfRule>
    <cfRule type="containsText" dxfId="284" priority="278" stopIfTrue="1" operator="containsText" text="0.INTRO">
      <formula>NOT(ISERROR(SEARCH("0.INTRO",AM163)))</formula>
    </cfRule>
    <cfRule type="expression" dxfId="283" priority="279" stopIfTrue="1">
      <formula>in_week</formula>
    </cfRule>
  </conditionalFormatting>
  <conditionalFormatting sqref="AM165">
    <cfRule type="containsText" dxfId="282" priority="276" stopIfTrue="1" operator="containsText" text="0.INTRO">
      <formula>NOT(ISERROR(SEARCH("0.INTRO",AM165)))</formula>
    </cfRule>
  </conditionalFormatting>
  <conditionalFormatting sqref="AM165">
    <cfRule type="containsText" dxfId="281" priority="272" operator="containsText" text="0. INTRO">
      <formula>NOT(ISERROR(SEARCH("0. INTRO",AM165)))</formula>
    </cfRule>
    <cfRule type="containsText" dxfId="280" priority="273" stopIfTrue="1" operator="containsText" text="0.INTRO">
      <formula>NOT(ISERROR(SEARCH("0.INTRO",AM165)))</formula>
    </cfRule>
    <cfRule type="expression" dxfId="279" priority="274" stopIfTrue="1">
      <formula>in_week</formula>
    </cfRule>
  </conditionalFormatting>
  <conditionalFormatting sqref="AM165">
    <cfRule type="containsText" dxfId="278" priority="275" operator="containsText" text="0. INTRO">
      <formula>NOT(ISERROR(SEARCH("0. INTRO",AM165)))</formula>
    </cfRule>
  </conditionalFormatting>
  <conditionalFormatting sqref="AM182">
    <cfRule type="expression" dxfId="277" priority="271" stopIfTrue="1">
      <formula>in_week</formula>
    </cfRule>
  </conditionalFormatting>
  <conditionalFormatting sqref="AM182">
    <cfRule type="containsText" dxfId="276" priority="270" stopIfTrue="1" operator="containsText" text="0.INTRO">
      <formula>NOT(ISERROR(SEARCH("0.INTRO",AM182)))</formula>
    </cfRule>
  </conditionalFormatting>
  <conditionalFormatting sqref="AM182">
    <cfRule type="containsText" dxfId="275" priority="269" operator="containsText" text="0. INTRO">
      <formula>NOT(ISERROR(SEARCH("0. INTRO",AM182)))</formula>
    </cfRule>
  </conditionalFormatting>
  <conditionalFormatting sqref="AM174:AM181">
    <cfRule type="expression" dxfId="274" priority="268" stopIfTrue="1">
      <formula>in_week</formula>
    </cfRule>
  </conditionalFormatting>
  <conditionalFormatting sqref="AM180:AM181">
    <cfRule type="containsText" dxfId="273" priority="267" stopIfTrue="1" operator="containsText" text="0.INTRO">
      <formula>NOT(ISERROR(SEARCH("0.INTRO",AM180)))</formula>
    </cfRule>
  </conditionalFormatting>
  <conditionalFormatting sqref="AM180:AM181">
    <cfRule type="containsText" dxfId="272" priority="266" operator="containsText" text="0. INTRO">
      <formula>NOT(ISERROR(SEARCH("0. INTRO",AM180)))</formula>
    </cfRule>
  </conditionalFormatting>
  <conditionalFormatting sqref="AM174:AM178">
    <cfRule type="containsText" dxfId="271" priority="265" stopIfTrue="1" operator="containsText" text="0.INTRO">
      <formula>NOT(ISERROR(SEARCH("0.INTRO",AM174)))</formula>
    </cfRule>
  </conditionalFormatting>
  <conditionalFormatting sqref="AM174:AM178">
    <cfRule type="containsText" dxfId="270" priority="261" operator="containsText" text="0. INTRO">
      <formula>NOT(ISERROR(SEARCH("0. INTRO",AM174)))</formula>
    </cfRule>
    <cfRule type="containsText" dxfId="269" priority="262" stopIfTrue="1" operator="containsText" text="0.INTRO">
      <formula>NOT(ISERROR(SEARCH("0.INTRO",AM174)))</formula>
    </cfRule>
    <cfRule type="expression" dxfId="268" priority="263" stopIfTrue="1">
      <formula>in_week</formula>
    </cfRule>
  </conditionalFormatting>
  <conditionalFormatting sqref="AM174:AM178">
    <cfRule type="containsText" dxfId="267" priority="264" operator="containsText" text="0. INTRO">
      <formula>NOT(ISERROR(SEARCH("0. INTRO",AM174)))</formula>
    </cfRule>
  </conditionalFormatting>
  <conditionalFormatting sqref="AM179">
    <cfRule type="containsText" dxfId="266" priority="260" stopIfTrue="1" operator="containsText" text="0.INTRO">
      <formula>NOT(ISERROR(SEARCH("0.INTRO",AM179)))</formula>
    </cfRule>
  </conditionalFormatting>
  <conditionalFormatting sqref="AM179">
    <cfRule type="containsText" dxfId="265" priority="259" operator="containsText" text="0. INTRO">
      <formula>NOT(ISERROR(SEARCH("0. INTRO",AM179)))</formula>
    </cfRule>
  </conditionalFormatting>
  <conditionalFormatting sqref="AM179">
    <cfRule type="containsText" dxfId="264" priority="256" operator="containsText" text="0. INTRO">
      <formula>NOT(ISERROR(SEARCH("0. INTRO",AM179)))</formula>
    </cfRule>
    <cfRule type="containsText" dxfId="263" priority="257" stopIfTrue="1" operator="containsText" text="0.INTRO">
      <formula>NOT(ISERROR(SEARCH("0.INTRO",AM179)))</formula>
    </cfRule>
    <cfRule type="expression" dxfId="262" priority="258" stopIfTrue="1">
      <formula>in_week</formula>
    </cfRule>
  </conditionalFormatting>
  <conditionalFormatting sqref="AM179">
    <cfRule type="containsText" dxfId="261" priority="255" stopIfTrue="1" operator="containsText" text="0.INTRO">
      <formula>NOT(ISERROR(SEARCH("0.INTRO",AM179)))</formula>
    </cfRule>
  </conditionalFormatting>
  <conditionalFormatting sqref="AM179">
    <cfRule type="containsText" dxfId="260" priority="251" operator="containsText" text="0. INTRO">
      <formula>NOT(ISERROR(SEARCH("0. INTRO",AM179)))</formula>
    </cfRule>
    <cfRule type="containsText" dxfId="259" priority="252" stopIfTrue="1" operator="containsText" text="0.INTRO">
      <formula>NOT(ISERROR(SEARCH("0.INTRO",AM179)))</formula>
    </cfRule>
    <cfRule type="expression" dxfId="258" priority="253" stopIfTrue="1">
      <formula>in_week</formula>
    </cfRule>
  </conditionalFormatting>
  <conditionalFormatting sqref="AM179">
    <cfRule type="containsText" dxfId="257" priority="254" operator="containsText" text="0. INTRO">
      <formula>NOT(ISERROR(SEARCH("0. INTRO",AM179)))</formula>
    </cfRule>
  </conditionalFormatting>
  <conditionalFormatting sqref="AM180:AM181">
    <cfRule type="containsText" dxfId="256" priority="248" operator="containsText" text="0. INTRO">
      <formula>NOT(ISERROR(SEARCH("0. INTRO",AM180)))</formula>
    </cfRule>
    <cfRule type="containsText" dxfId="255" priority="249" stopIfTrue="1" operator="containsText" text="0.INTRO">
      <formula>NOT(ISERROR(SEARCH("0.INTRO",AM180)))</formula>
    </cfRule>
    <cfRule type="expression" dxfId="254" priority="250" stopIfTrue="1">
      <formula>in_week</formula>
    </cfRule>
  </conditionalFormatting>
  <conditionalFormatting sqref="AM182">
    <cfRule type="containsText" dxfId="253" priority="245" operator="containsText" text="0. INTRO">
      <formula>NOT(ISERROR(SEARCH("0. INTRO",AM182)))</formula>
    </cfRule>
    <cfRule type="containsText" dxfId="252" priority="246" stopIfTrue="1" operator="containsText" text="0.INTRO">
      <formula>NOT(ISERROR(SEARCH("0.INTRO",AM182)))</formula>
    </cfRule>
    <cfRule type="expression" dxfId="251" priority="247" stopIfTrue="1">
      <formula>in_week</formula>
    </cfRule>
  </conditionalFormatting>
  <conditionalFormatting sqref="AM183:AM188">
    <cfRule type="expression" dxfId="250" priority="244" stopIfTrue="1">
      <formula>in_week</formula>
    </cfRule>
  </conditionalFormatting>
  <conditionalFormatting sqref="AM183:AM188">
    <cfRule type="containsText" dxfId="249" priority="243" stopIfTrue="1" operator="containsText" text="0.INTRO">
      <formula>NOT(ISERROR(SEARCH("0.INTRO",AM183)))</formula>
    </cfRule>
  </conditionalFormatting>
  <conditionalFormatting sqref="AM183:AM188">
    <cfRule type="containsText" dxfId="248" priority="242" operator="containsText" text="0. INTRO">
      <formula>NOT(ISERROR(SEARCH("0. INTRO",AM183)))</formula>
    </cfRule>
  </conditionalFormatting>
  <conditionalFormatting sqref="AM183:AM188">
    <cfRule type="containsText" dxfId="247" priority="239" operator="containsText" text="0. INTRO">
      <formula>NOT(ISERROR(SEARCH("0. INTRO",AM183)))</formula>
    </cfRule>
    <cfRule type="containsText" dxfId="246" priority="240" stopIfTrue="1" operator="containsText" text="0.INTRO">
      <formula>NOT(ISERROR(SEARCH("0.INTRO",AM183)))</formula>
    </cfRule>
    <cfRule type="expression" dxfId="245" priority="241" stopIfTrue="1">
      <formula>in_week</formula>
    </cfRule>
  </conditionalFormatting>
  <conditionalFormatting sqref="AM189:AM190">
    <cfRule type="containsText" dxfId="244" priority="237" stopIfTrue="1" operator="containsText" text="0.INTRO">
      <formula>NOT(ISERROR(SEARCH("0.INTRO",AM189)))</formula>
    </cfRule>
  </conditionalFormatting>
  <conditionalFormatting sqref="AM189:AM190">
    <cfRule type="containsText" dxfId="243" priority="236" operator="containsText" text="0. INTRO">
      <formula>NOT(ISERROR(SEARCH("0. INTRO",AM189)))</formula>
    </cfRule>
  </conditionalFormatting>
  <conditionalFormatting sqref="AM189:AM191">
    <cfRule type="containsText" dxfId="242" priority="233" operator="containsText" text="0. INTRO">
      <formula>NOT(ISERROR(SEARCH("0. INTRO",AM189)))</formula>
    </cfRule>
    <cfRule type="containsText" dxfId="241" priority="234" stopIfTrue="1" operator="containsText" text="0.INTRO">
      <formula>NOT(ISERROR(SEARCH("0.INTRO",AM189)))</formula>
    </cfRule>
    <cfRule type="expression" dxfId="240" priority="235" stopIfTrue="1">
      <formula>in_week</formula>
    </cfRule>
  </conditionalFormatting>
  <conditionalFormatting sqref="AM194">
    <cfRule type="containsText" dxfId="239" priority="230" operator="containsText" text="0. INTRO">
      <formula>NOT(ISERROR(SEARCH("0. INTRO",AM194)))</formula>
    </cfRule>
    <cfRule type="containsText" dxfId="238" priority="231" stopIfTrue="1" operator="containsText" text="0.INTRO">
      <formula>NOT(ISERROR(SEARCH("0.INTRO",AM194)))</formula>
    </cfRule>
    <cfRule type="expression" dxfId="237" priority="232" stopIfTrue="1">
      <formula>in_week</formula>
    </cfRule>
  </conditionalFormatting>
  <conditionalFormatting sqref="AM195:AM202">
    <cfRule type="expression" dxfId="236" priority="229" stopIfTrue="1">
      <formula>in_week</formula>
    </cfRule>
  </conditionalFormatting>
  <conditionalFormatting sqref="AM195:AM196">
    <cfRule type="containsText" dxfId="235" priority="228" stopIfTrue="1" operator="containsText" text="0.INTRO">
      <formula>NOT(ISERROR(SEARCH("0.INTRO",AM195)))</formula>
    </cfRule>
  </conditionalFormatting>
  <conditionalFormatting sqref="AM195:AM196">
    <cfRule type="containsText" dxfId="234" priority="227" operator="containsText" text="0. INTRO">
      <formula>NOT(ISERROR(SEARCH("0. INTRO",AM195)))</formula>
    </cfRule>
  </conditionalFormatting>
  <conditionalFormatting sqref="AM197:AM202">
    <cfRule type="containsText" dxfId="233" priority="226" stopIfTrue="1" operator="containsText" text="0.INTRO">
      <formula>NOT(ISERROR(SEARCH("0.INTRO",AM197)))</formula>
    </cfRule>
  </conditionalFormatting>
  <conditionalFormatting sqref="AM197:AM202">
    <cfRule type="containsText" dxfId="232" priority="225" operator="containsText" text="0. INTRO">
      <formula>NOT(ISERROR(SEARCH("0. INTRO",AM197)))</formula>
    </cfRule>
  </conditionalFormatting>
  <conditionalFormatting sqref="AM198:AM202">
    <cfRule type="containsText" dxfId="231" priority="222" operator="containsText" text="0. INTRO">
      <formula>NOT(ISERROR(SEARCH("0. INTRO",AM198)))</formula>
    </cfRule>
    <cfRule type="containsText" dxfId="230" priority="223" stopIfTrue="1" operator="containsText" text="0.INTRO">
      <formula>NOT(ISERROR(SEARCH("0.INTRO",AM198)))</formula>
    </cfRule>
    <cfRule type="expression" dxfId="229" priority="224" stopIfTrue="1">
      <formula>in_week</formula>
    </cfRule>
  </conditionalFormatting>
  <conditionalFormatting sqref="AM198:AM202">
    <cfRule type="containsText" dxfId="228" priority="219" operator="containsText" text="0. INTRO">
      <formula>NOT(ISERROR(SEARCH("0. INTRO",AM198)))</formula>
    </cfRule>
    <cfRule type="containsText" dxfId="227" priority="220" stopIfTrue="1" operator="containsText" text="0.INTRO">
      <formula>NOT(ISERROR(SEARCH("0.INTRO",AM198)))</formula>
    </cfRule>
    <cfRule type="expression" dxfId="226" priority="221" stopIfTrue="1">
      <formula>in_week</formula>
    </cfRule>
  </conditionalFormatting>
  <conditionalFormatting sqref="AM195">
    <cfRule type="containsText" dxfId="225" priority="216" operator="containsText" text="0. INTRO">
      <formula>NOT(ISERROR(SEARCH("0. INTRO",AM195)))</formula>
    </cfRule>
    <cfRule type="containsText" dxfId="224" priority="217" stopIfTrue="1" operator="containsText" text="0.INTRO">
      <formula>NOT(ISERROR(SEARCH("0.INTRO",AM195)))</formula>
    </cfRule>
    <cfRule type="expression" dxfId="223" priority="218" stopIfTrue="1">
      <formula>in_week</formula>
    </cfRule>
  </conditionalFormatting>
  <conditionalFormatting sqref="AM195">
    <cfRule type="containsText" dxfId="222" priority="213" operator="containsText" text="0. INTRO">
      <formula>NOT(ISERROR(SEARCH("0. INTRO",AM195)))</formula>
    </cfRule>
    <cfRule type="containsText" dxfId="221" priority="214" stopIfTrue="1" operator="containsText" text="0.INTRO">
      <formula>NOT(ISERROR(SEARCH("0.INTRO",AM195)))</formula>
    </cfRule>
    <cfRule type="expression" dxfId="220" priority="215" stopIfTrue="1">
      <formula>in_week</formula>
    </cfRule>
  </conditionalFormatting>
  <conditionalFormatting sqref="AM196">
    <cfRule type="containsText" dxfId="219" priority="210" operator="containsText" text="0. INTRO">
      <formula>NOT(ISERROR(SEARCH("0. INTRO",AM196)))</formula>
    </cfRule>
    <cfRule type="containsText" dxfId="218" priority="211" stopIfTrue="1" operator="containsText" text="0.INTRO">
      <formula>NOT(ISERROR(SEARCH("0.INTRO",AM196)))</formula>
    </cfRule>
    <cfRule type="expression" dxfId="217" priority="212" stopIfTrue="1">
      <formula>in_week</formula>
    </cfRule>
  </conditionalFormatting>
  <conditionalFormatting sqref="AM196">
    <cfRule type="containsText" dxfId="216" priority="207" operator="containsText" text="0. INTRO">
      <formula>NOT(ISERROR(SEARCH("0. INTRO",AM196)))</formula>
    </cfRule>
    <cfRule type="containsText" dxfId="215" priority="208" stopIfTrue="1" operator="containsText" text="0.INTRO">
      <formula>NOT(ISERROR(SEARCH("0.INTRO",AM196)))</formula>
    </cfRule>
    <cfRule type="expression" dxfId="214" priority="209" stopIfTrue="1">
      <formula>in_week</formula>
    </cfRule>
  </conditionalFormatting>
  <conditionalFormatting sqref="AM197">
    <cfRule type="containsText" dxfId="213" priority="204" operator="containsText" text="0. INTRO">
      <formula>NOT(ISERROR(SEARCH("0. INTRO",AM197)))</formula>
    </cfRule>
    <cfRule type="containsText" dxfId="212" priority="205" stopIfTrue="1" operator="containsText" text="0.INTRO">
      <formula>NOT(ISERROR(SEARCH("0.INTRO",AM197)))</formula>
    </cfRule>
    <cfRule type="expression" dxfId="211" priority="206" stopIfTrue="1">
      <formula>in_week</formula>
    </cfRule>
  </conditionalFormatting>
  <conditionalFormatting sqref="AM197">
    <cfRule type="containsText" dxfId="210" priority="201" operator="containsText" text="0. INTRO">
      <formula>NOT(ISERROR(SEARCH("0. INTRO",AM197)))</formula>
    </cfRule>
    <cfRule type="containsText" dxfId="209" priority="202" stopIfTrue="1" operator="containsText" text="0.INTRO">
      <formula>NOT(ISERROR(SEARCH("0.INTRO",AM197)))</formula>
    </cfRule>
    <cfRule type="expression" dxfId="208" priority="203" stopIfTrue="1">
      <formula>in_week</formula>
    </cfRule>
  </conditionalFormatting>
  <conditionalFormatting sqref="AN99:AN101">
    <cfRule type="expression" dxfId="207" priority="200" stopIfTrue="1">
      <formula>in_week</formula>
    </cfRule>
  </conditionalFormatting>
  <conditionalFormatting sqref="AN99:AN101">
    <cfRule type="containsText" dxfId="206" priority="199" stopIfTrue="1" operator="containsText" text="0.INTRO">
      <formula>NOT(ISERROR(SEARCH("0.INTRO",AN99)))</formula>
    </cfRule>
  </conditionalFormatting>
  <conditionalFormatting sqref="AN99:AN101">
    <cfRule type="containsText" dxfId="205" priority="198" operator="containsText" text="0. INTRO">
      <formula>NOT(ISERROR(SEARCH("0. INTRO",AN99)))</formula>
    </cfRule>
  </conditionalFormatting>
  <conditionalFormatting sqref="AN103:AN109">
    <cfRule type="expression" dxfId="204" priority="197" stopIfTrue="1">
      <formula>in_week</formula>
    </cfRule>
  </conditionalFormatting>
  <conditionalFormatting sqref="AN105:AN109">
    <cfRule type="containsText" dxfId="203" priority="196" stopIfTrue="1" operator="containsText" text="0.INTRO">
      <formula>NOT(ISERROR(SEARCH("0.INTRO",AN105)))</formula>
    </cfRule>
  </conditionalFormatting>
  <conditionalFormatting sqref="AN105:AN109">
    <cfRule type="containsText" dxfId="202" priority="195" operator="containsText" text="0. INTRO">
      <formula>NOT(ISERROR(SEARCH("0. INTRO",AN105)))</formula>
    </cfRule>
  </conditionalFormatting>
  <conditionalFormatting sqref="AN103:AN104">
    <cfRule type="containsText" dxfId="201" priority="194" stopIfTrue="1" operator="containsText" text="0.INTRO">
      <formula>NOT(ISERROR(SEARCH("0.INTRO",AN103)))</formula>
    </cfRule>
  </conditionalFormatting>
  <conditionalFormatting sqref="AN103:AN104">
    <cfRule type="containsText" dxfId="200" priority="193" operator="containsText" text="0. INTRO">
      <formula>NOT(ISERROR(SEARCH("0. INTRO",AN103)))</formula>
    </cfRule>
  </conditionalFormatting>
  <conditionalFormatting sqref="AN110:AN111">
    <cfRule type="expression" dxfId="199" priority="192" stopIfTrue="1">
      <formula>in_week</formula>
    </cfRule>
  </conditionalFormatting>
  <conditionalFormatting sqref="AN110:AN111">
    <cfRule type="containsText" dxfId="198" priority="191" stopIfTrue="1" operator="containsText" text="0.INTRO">
      <formula>NOT(ISERROR(SEARCH("0.INTRO",AN110)))</formula>
    </cfRule>
  </conditionalFormatting>
  <conditionalFormatting sqref="AN110:AN111">
    <cfRule type="containsText" dxfId="197" priority="190" operator="containsText" text="0. INTRO">
      <formula>NOT(ISERROR(SEARCH("0. INTRO",AN110)))</formula>
    </cfRule>
  </conditionalFormatting>
  <conditionalFormatting sqref="AN121:AN129">
    <cfRule type="expression" dxfId="196" priority="189" stopIfTrue="1">
      <formula>in_week</formula>
    </cfRule>
  </conditionalFormatting>
  <conditionalFormatting sqref="AN128:AN129">
    <cfRule type="containsText" dxfId="195" priority="188" stopIfTrue="1" operator="containsText" text="0.INTRO">
      <formula>NOT(ISERROR(SEARCH("0.INTRO",AN128)))</formula>
    </cfRule>
  </conditionalFormatting>
  <conditionalFormatting sqref="AN128:AN129">
    <cfRule type="containsText" dxfId="194" priority="187" operator="containsText" text="0. INTRO">
      <formula>NOT(ISERROR(SEARCH("0. INTRO",AN128)))</formula>
    </cfRule>
  </conditionalFormatting>
  <conditionalFormatting sqref="AN121:AN124">
    <cfRule type="containsText" dxfId="193" priority="186" stopIfTrue="1" operator="containsText" text="0.INTRO">
      <formula>NOT(ISERROR(SEARCH("0.INTRO",AN121)))</formula>
    </cfRule>
  </conditionalFormatting>
  <conditionalFormatting sqref="AN121:AN124">
    <cfRule type="containsText" dxfId="192" priority="185" operator="containsText" text="0. INTRO">
      <formula>NOT(ISERROR(SEARCH("0. INTRO",AN121)))</formula>
    </cfRule>
  </conditionalFormatting>
  <conditionalFormatting sqref="AN125:AN127">
    <cfRule type="containsText" dxfId="191" priority="184" stopIfTrue="1" operator="containsText" text="0.INTRO">
      <formula>NOT(ISERROR(SEARCH("0.INTRO",AN125)))</formula>
    </cfRule>
  </conditionalFormatting>
  <conditionalFormatting sqref="AN125:AN127">
    <cfRule type="containsText" dxfId="190" priority="183" operator="containsText" text="0. INTRO">
      <formula>NOT(ISERROR(SEARCH("0. INTRO",AN125)))</formula>
    </cfRule>
  </conditionalFormatting>
  <conditionalFormatting sqref="AN129">
    <cfRule type="containsText" dxfId="189" priority="180" operator="containsText" text="0. INTRO">
      <formula>NOT(ISERROR(SEARCH("0. INTRO",AN129)))</formula>
    </cfRule>
    <cfRule type="containsText" dxfId="188" priority="181" stopIfTrue="1" operator="containsText" text="0.INTRO">
      <formula>NOT(ISERROR(SEARCH("0.INTRO",AN129)))</formula>
    </cfRule>
    <cfRule type="expression" dxfId="187" priority="182" stopIfTrue="1">
      <formula>in_week</formula>
    </cfRule>
  </conditionalFormatting>
  <conditionalFormatting sqref="AN130:AN132">
    <cfRule type="expression" dxfId="186" priority="179" stopIfTrue="1">
      <formula>in_week</formula>
    </cfRule>
  </conditionalFormatting>
  <conditionalFormatting sqref="AN130:AN132">
    <cfRule type="containsText" dxfId="185" priority="178" stopIfTrue="1" operator="containsText" text="0.INTRO">
      <formula>NOT(ISERROR(SEARCH("0.INTRO",AN130)))</formula>
    </cfRule>
  </conditionalFormatting>
  <conditionalFormatting sqref="AN130:AN132">
    <cfRule type="containsText" dxfId="184" priority="177" operator="containsText" text="0. INTRO">
      <formula>NOT(ISERROR(SEARCH("0. INTRO",AN130)))</formula>
    </cfRule>
  </conditionalFormatting>
  <conditionalFormatting sqref="AN133:AN136">
    <cfRule type="expression" dxfId="183" priority="176" stopIfTrue="1">
      <formula>in_week</formula>
    </cfRule>
  </conditionalFormatting>
  <conditionalFormatting sqref="AN133:AN136">
    <cfRule type="containsText" dxfId="182" priority="175" stopIfTrue="1" operator="containsText" text="0.INTRO">
      <formula>NOT(ISERROR(SEARCH("0.INTRO",AN133)))</formula>
    </cfRule>
  </conditionalFormatting>
  <conditionalFormatting sqref="AN133:AN136">
    <cfRule type="containsText" dxfId="181" priority="174" operator="containsText" text="0. INTRO">
      <formula>NOT(ISERROR(SEARCH("0. INTRO",AN133)))</formula>
    </cfRule>
  </conditionalFormatting>
  <conditionalFormatting sqref="AN137:AN139">
    <cfRule type="expression" dxfId="180" priority="173" stopIfTrue="1">
      <formula>in_week</formula>
    </cfRule>
  </conditionalFormatting>
  <conditionalFormatting sqref="AN137:AN139">
    <cfRule type="containsText" dxfId="179" priority="172" stopIfTrue="1" operator="containsText" text="0.INTRO">
      <formula>NOT(ISERROR(SEARCH("0.INTRO",AN137)))</formula>
    </cfRule>
  </conditionalFormatting>
  <conditionalFormatting sqref="AN137:AN139">
    <cfRule type="containsText" dxfId="178" priority="171" operator="containsText" text="0. INTRO">
      <formula>NOT(ISERROR(SEARCH("0. INTRO",AN137)))</formula>
    </cfRule>
  </conditionalFormatting>
  <conditionalFormatting sqref="AN142:AN146">
    <cfRule type="expression" dxfId="177" priority="170" stopIfTrue="1">
      <formula>in_week</formula>
    </cfRule>
  </conditionalFormatting>
  <conditionalFormatting sqref="AN142:AN146">
    <cfRule type="containsText" dxfId="176" priority="169" stopIfTrue="1" operator="containsText" text="0.INTRO">
      <formula>NOT(ISERROR(SEARCH("0.INTRO",AN142)))</formula>
    </cfRule>
  </conditionalFormatting>
  <conditionalFormatting sqref="AN142:AN146">
    <cfRule type="containsText" dxfId="175" priority="168" operator="containsText" text="0. INTRO">
      <formula>NOT(ISERROR(SEARCH("0. INTRO",AN142)))</formula>
    </cfRule>
  </conditionalFormatting>
  <conditionalFormatting sqref="AN147:AN150">
    <cfRule type="expression" dxfId="174" priority="167" stopIfTrue="1">
      <formula>in_week</formula>
    </cfRule>
  </conditionalFormatting>
  <conditionalFormatting sqref="AN147:AN150">
    <cfRule type="containsText" dxfId="173" priority="166" stopIfTrue="1" operator="containsText" text="0.INTRO">
      <formula>NOT(ISERROR(SEARCH("0.INTRO",AN147)))</formula>
    </cfRule>
  </conditionalFormatting>
  <conditionalFormatting sqref="AN147:AN150">
    <cfRule type="containsText" dxfId="172" priority="165" operator="containsText" text="0. INTRO">
      <formula>NOT(ISERROR(SEARCH("0. INTRO",AN147)))</formula>
    </cfRule>
  </conditionalFormatting>
  <conditionalFormatting sqref="AN151:AN152">
    <cfRule type="expression" dxfId="171" priority="164" stopIfTrue="1">
      <formula>in_week</formula>
    </cfRule>
  </conditionalFormatting>
  <conditionalFormatting sqref="AN151:AN152">
    <cfRule type="containsText" dxfId="170" priority="163" stopIfTrue="1" operator="containsText" text="0.INTRO">
      <formula>NOT(ISERROR(SEARCH("0.INTRO",AN151)))</formula>
    </cfRule>
  </conditionalFormatting>
  <conditionalFormatting sqref="AN151:AN152">
    <cfRule type="containsText" dxfId="169" priority="162" operator="containsText" text="0. INTRO">
      <formula>NOT(ISERROR(SEARCH("0. INTRO",AN151)))</formula>
    </cfRule>
  </conditionalFormatting>
  <conditionalFormatting sqref="AN154:AN161">
    <cfRule type="expression" dxfId="168" priority="161" stopIfTrue="1">
      <formula>in_week</formula>
    </cfRule>
  </conditionalFormatting>
  <conditionalFormatting sqref="AN154:AN161">
    <cfRule type="containsText" dxfId="167" priority="160" stopIfTrue="1" operator="containsText" text="0.INTRO">
      <formula>NOT(ISERROR(SEARCH("0.INTRO",AN154)))</formula>
    </cfRule>
  </conditionalFormatting>
  <conditionalFormatting sqref="AN154:AN161">
    <cfRule type="containsText" dxfId="166" priority="159" operator="containsText" text="0. INTRO">
      <formula>NOT(ISERROR(SEARCH("0. INTRO",AN154)))</formula>
    </cfRule>
  </conditionalFormatting>
  <conditionalFormatting sqref="AN162">
    <cfRule type="expression" dxfId="165" priority="158" stopIfTrue="1">
      <formula>in_week</formula>
    </cfRule>
  </conditionalFormatting>
  <conditionalFormatting sqref="AN162">
    <cfRule type="containsText" dxfId="164" priority="157" stopIfTrue="1" operator="containsText" text="0.INTRO">
      <formula>NOT(ISERROR(SEARCH("0.INTRO",AN162)))</formula>
    </cfRule>
  </conditionalFormatting>
  <conditionalFormatting sqref="AN162">
    <cfRule type="containsText" dxfId="163" priority="156" operator="containsText" text="0. INTRO">
      <formula>NOT(ISERROR(SEARCH("0. INTRO",AN162)))</formula>
    </cfRule>
  </conditionalFormatting>
  <conditionalFormatting sqref="AN175:AN181">
    <cfRule type="expression" dxfId="162" priority="149" stopIfTrue="1">
      <formula>in_week</formula>
    </cfRule>
  </conditionalFormatting>
  <conditionalFormatting sqref="AN175:AN181">
    <cfRule type="containsText" dxfId="161" priority="148" stopIfTrue="1" operator="containsText" text="0.INTRO">
      <formula>NOT(ISERROR(SEARCH("0.INTRO",AN175)))</formula>
    </cfRule>
  </conditionalFormatting>
  <conditionalFormatting sqref="AN175:AN181">
    <cfRule type="containsText" dxfId="160" priority="147" operator="containsText" text="0. INTRO">
      <formula>NOT(ISERROR(SEARCH("0. INTRO",AN175)))</formula>
    </cfRule>
  </conditionalFormatting>
  <conditionalFormatting sqref="AN175:AN176">
    <cfRule type="containsText" dxfId="159" priority="144" operator="containsText" text="0. INTRO">
      <formula>NOT(ISERROR(SEARCH("0. INTRO",AN175)))</formula>
    </cfRule>
    <cfRule type="containsText" dxfId="158" priority="145" stopIfTrue="1" operator="containsText" text="0.INTRO">
      <formula>NOT(ISERROR(SEARCH("0.INTRO",AN175)))</formula>
    </cfRule>
    <cfRule type="expression" dxfId="157" priority="146" stopIfTrue="1">
      <formula>in_week</formula>
    </cfRule>
  </conditionalFormatting>
  <conditionalFormatting sqref="AN177:AN179">
    <cfRule type="containsText" dxfId="156" priority="141" operator="containsText" text="0. INTRO">
      <formula>NOT(ISERROR(SEARCH("0. INTRO",AN177)))</formula>
    </cfRule>
    <cfRule type="containsText" dxfId="155" priority="142" stopIfTrue="1" operator="containsText" text="0.INTRO">
      <formula>NOT(ISERROR(SEARCH("0.INTRO",AN177)))</formula>
    </cfRule>
    <cfRule type="expression" dxfId="154" priority="143" stopIfTrue="1">
      <formula>in_week</formula>
    </cfRule>
  </conditionalFormatting>
  <conditionalFormatting sqref="AN180:AN181">
    <cfRule type="containsText" dxfId="153" priority="138" operator="containsText" text="0. INTRO">
      <formula>NOT(ISERROR(SEARCH("0. INTRO",AN180)))</formula>
    </cfRule>
    <cfRule type="containsText" dxfId="152" priority="139" stopIfTrue="1" operator="containsText" text="0.INTRO">
      <formula>NOT(ISERROR(SEARCH("0.INTRO",AN180)))</formula>
    </cfRule>
    <cfRule type="expression" dxfId="151" priority="140" stopIfTrue="1">
      <formula>in_week</formula>
    </cfRule>
  </conditionalFormatting>
  <conditionalFormatting sqref="AN182">
    <cfRule type="expression" dxfId="150" priority="137" stopIfTrue="1">
      <formula>in_week</formula>
    </cfRule>
  </conditionalFormatting>
  <conditionalFormatting sqref="AN182">
    <cfRule type="containsText" dxfId="149" priority="136" stopIfTrue="1" operator="containsText" text="0.INTRO">
      <formula>NOT(ISERROR(SEARCH("0.INTRO",AN182)))</formula>
    </cfRule>
  </conditionalFormatting>
  <conditionalFormatting sqref="AN182">
    <cfRule type="containsText" dxfId="148" priority="135" operator="containsText" text="0. INTRO">
      <formula>NOT(ISERROR(SEARCH("0. INTRO",AN182)))</formula>
    </cfRule>
  </conditionalFormatting>
  <conditionalFormatting sqref="AN182">
    <cfRule type="containsText" dxfId="147" priority="132" operator="containsText" text="0. INTRO">
      <formula>NOT(ISERROR(SEARCH("0. INTRO",AN182)))</formula>
    </cfRule>
    <cfRule type="containsText" dxfId="146" priority="133" stopIfTrue="1" operator="containsText" text="0.INTRO">
      <formula>NOT(ISERROR(SEARCH("0.INTRO",AN182)))</formula>
    </cfRule>
    <cfRule type="expression" dxfId="145" priority="134" stopIfTrue="1">
      <formula>in_week</formula>
    </cfRule>
  </conditionalFormatting>
  <conditionalFormatting sqref="AN195:AN198">
    <cfRule type="expression" dxfId="144" priority="128" stopIfTrue="1">
      <formula>in_week</formula>
    </cfRule>
  </conditionalFormatting>
  <conditionalFormatting sqref="AN195:AN198">
    <cfRule type="containsText" dxfId="143" priority="127" stopIfTrue="1" operator="containsText" text="0.INTRO">
      <formula>NOT(ISERROR(SEARCH("0.INTRO",AN195)))</formula>
    </cfRule>
  </conditionalFormatting>
  <conditionalFormatting sqref="AN195:AN198">
    <cfRule type="containsText" dxfId="142" priority="126" operator="containsText" text="0. INTRO">
      <formula>NOT(ISERROR(SEARCH("0. INTRO",AN195)))</formula>
    </cfRule>
  </conditionalFormatting>
  <conditionalFormatting sqref="AN199:AN202">
    <cfRule type="expression" dxfId="141" priority="125" stopIfTrue="1">
      <formula>in_week</formula>
    </cfRule>
  </conditionalFormatting>
  <conditionalFormatting sqref="AN199:AN202">
    <cfRule type="containsText" dxfId="140" priority="124" stopIfTrue="1" operator="containsText" text="0.INTRO">
      <formula>NOT(ISERROR(SEARCH("0.INTRO",AN199)))</formula>
    </cfRule>
  </conditionalFormatting>
  <conditionalFormatting sqref="AN199:AN202">
    <cfRule type="containsText" dxfId="139" priority="123" operator="containsText" text="0. INTRO">
      <formula>NOT(ISERROR(SEARCH("0. INTRO",AN199)))</formula>
    </cfRule>
  </conditionalFormatting>
  <conditionalFormatting sqref="AN204:AN205">
    <cfRule type="containsText" dxfId="138" priority="122" stopIfTrue="1" operator="containsText" text="0.INTRO">
      <formula>NOT(ISERROR(SEARCH("0.INTRO",AN204)))</formula>
    </cfRule>
  </conditionalFormatting>
  <conditionalFormatting sqref="AN204:AN205">
    <cfRule type="containsText" dxfId="137" priority="121" operator="containsText" text="0. INTRO">
      <formula>NOT(ISERROR(SEARCH("0. INTRO",AN204)))</formula>
    </cfRule>
  </conditionalFormatting>
  <conditionalFormatting sqref="AN215">
    <cfRule type="containsText" dxfId="136" priority="116" operator="containsText" text="0. INTRO">
      <formula>NOT(ISERROR(SEARCH("0. INTRO",AN215)))</formula>
    </cfRule>
    <cfRule type="containsText" dxfId="135" priority="117" stopIfTrue="1" operator="containsText" text="0.INTRO">
      <formula>NOT(ISERROR(SEARCH("0.INTRO",AN215)))</formula>
    </cfRule>
    <cfRule type="expression" dxfId="134" priority="118" stopIfTrue="1">
      <formula>in_week</formula>
    </cfRule>
  </conditionalFormatting>
  <conditionalFormatting sqref="AL216">
    <cfRule type="containsText" dxfId="133" priority="113" operator="containsText" text="0. INTRO">
      <formula>NOT(ISERROR(SEARCH("0. INTRO",AL216)))</formula>
    </cfRule>
    <cfRule type="containsText" dxfId="132" priority="114" stopIfTrue="1" operator="containsText" text="0.INTRO">
      <formula>NOT(ISERROR(SEARCH("0.INTRO",AL216)))</formula>
    </cfRule>
    <cfRule type="expression" dxfId="131" priority="115" stopIfTrue="1">
      <formula>in_week</formula>
    </cfRule>
  </conditionalFormatting>
  <conditionalFormatting sqref="AL243">
    <cfRule type="containsText" dxfId="130" priority="110" operator="containsText" text="0. INTRO">
      <formula>NOT(ISERROR(SEARCH("0. INTRO",AL243)))</formula>
    </cfRule>
    <cfRule type="containsText" dxfId="129" priority="111" stopIfTrue="1" operator="containsText" text="0.INTRO">
      <formula>NOT(ISERROR(SEARCH("0.INTRO",AL243)))</formula>
    </cfRule>
    <cfRule type="expression" dxfId="128" priority="112" stopIfTrue="1">
      <formula>in_week</formula>
    </cfRule>
  </conditionalFormatting>
  <conditionalFormatting sqref="AL246:AL254">
    <cfRule type="expression" dxfId="127" priority="109" stopIfTrue="1">
      <formula>in_week</formula>
    </cfRule>
  </conditionalFormatting>
  <conditionalFormatting sqref="AL246:AL254">
    <cfRule type="containsText" dxfId="126" priority="108" stopIfTrue="1" operator="containsText" text="0.INTRO">
      <formula>NOT(ISERROR(SEARCH("0.INTRO",AL246)))</formula>
    </cfRule>
  </conditionalFormatting>
  <conditionalFormatting sqref="AL246:AL254">
    <cfRule type="containsText" dxfId="125" priority="107" operator="containsText" text="0. INTRO">
      <formula>NOT(ISERROR(SEARCH("0. INTRO",AL246)))</formula>
    </cfRule>
  </conditionalFormatting>
  <conditionalFormatting sqref="AL255:AL259">
    <cfRule type="containsText" dxfId="124" priority="106" stopIfTrue="1" operator="containsText" text="0.INTRO">
      <formula>NOT(ISERROR(SEARCH("0.INTRO",AL255)))</formula>
    </cfRule>
  </conditionalFormatting>
  <conditionalFormatting sqref="AL255:AL259">
    <cfRule type="containsText" dxfId="123" priority="105" operator="containsText" text="0. INTRO">
      <formula>NOT(ISERROR(SEARCH("0. INTRO",AL255)))</formula>
    </cfRule>
  </conditionalFormatting>
  <conditionalFormatting sqref="AL260:AL261">
    <cfRule type="containsText" dxfId="122" priority="104" stopIfTrue="1" operator="containsText" text="0.INTRO">
      <formula>NOT(ISERROR(SEARCH("0.INTRO",AL260)))</formula>
    </cfRule>
  </conditionalFormatting>
  <conditionalFormatting sqref="AL260:AL261">
    <cfRule type="containsText" dxfId="121" priority="103" operator="containsText" text="0. INTRO">
      <formula>NOT(ISERROR(SEARCH("0. INTRO",AL260)))</formula>
    </cfRule>
  </conditionalFormatting>
  <conditionalFormatting sqref="AL260:AL261">
    <cfRule type="containsText" dxfId="120" priority="102" stopIfTrue="1" operator="containsText" text="0.INTRO">
      <formula>NOT(ISERROR(SEARCH("0.INTRO",AL260)))</formula>
    </cfRule>
  </conditionalFormatting>
  <conditionalFormatting sqref="AL260:AL261">
    <cfRule type="containsText" dxfId="119" priority="101" operator="containsText" text="0. INTRO">
      <formula>NOT(ISERROR(SEARCH("0. INTRO",AL260)))</formula>
    </cfRule>
  </conditionalFormatting>
  <conditionalFormatting sqref="AL262:AL263">
    <cfRule type="containsText" dxfId="118" priority="98" stopIfTrue="1" operator="containsText" text="0.INTRO">
      <formula>NOT(ISERROR(SEARCH("0.INTRO",AL262)))</formula>
    </cfRule>
  </conditionalFormatting>
  <conditionalFormatting sqref="AL262:AL263">
    <cfRule type="containsText" dxfId="117" priority="97" operator="containsText" text="0. INTRO">
      <formula>NOT(ISERROR(SEARCH("0. INTRO",AL262)))</formula>
    </cfRule>
  </conditionalFormatting>
  <conditionalFormatting sqref="AL260:AL263">
    <cfRule type="containsText" dxfId="116" priority="96" stopIfTrue="1" operator="containsText" text="0.INTRO">
      <formula>NOT(ISERROR(SEARCH("0.INTRO",AL260)))</formula>
    </cfRule>
  </conditionalFormatting>
  <conditionalFormatting sqref="AL260:AL263">
    <cfRule type="containsText" dxfId="115" priority="95" operator="containsText" text="0. INTRO">
      <formula>NOT(ISERROR(SEARCH("0. INTRO",AL260)))</formula>
    </cfRule>
  </conditionalFormatting>
  <conditionalFormatting sqref="AL264:AL267">
    <cfRule type="containsText" dxfId="114" priority="92" stopIfTrue="1" operator="containsText" text="0.INTRO">
      <formula>NOT(ISERROR(SEARCH("0.INTRO",AL264)))</formula>
    </cfRule>
  </conditionalFormatting>
  <conditionalFormatting sqref="AL264:AL267">
    <cfRule type="containsText" dxfId="113" priority="91" operator="containsText" text="0. INTRO">
      <formula>NOT(ISERROR(SEARCH("0. INTRO",AL264)))</formula>
    </cfRule>
  </conditionalFormatting>
  <conditionalFormatting sqref="AL287:AL288">
    <cfRule type="expression" dxfId="112" priority="87">
      <formula>in_week</formula>
    </cfRule>
    <cfRule type="expression" dxfId="111" priority="88" stopIfTrue="1">
      <formula>in_week</formula>
    </cfRule>
  </conditionalFormatting>
  <conditionalFormatting sqref="AL287:AL294">
    <cfRule type="containsText" dxfId="110" priority="90" stopIfTrue="1" operator="containsText" text="0.INTRO">
      <formula>NOT(ISERROR(SEARCH("0.INTRO",AL287)))</formula>
    </cfRule>
  </conditionalFormatting>
  <conditionalFormatting sqref="AL287:AL294">
    <cfRule type="containsText" dxfId="109" priority="89" operator="containsText" text="0. INTRO">
      <formula>NOT(ISERROR(SEARCH("0. INTRO",AL287)))</formula>
    </cfRule>
  </conditionalFormatting>
  <conditionalFormatting sqref="AN235">
    <cfRule type="containsText" dxfId="108" priority="84" operator="containsText" text="0. INTRO">
      <formula>NOT(ISERROR(SEARCH("0. INTRO",AN235)))</formula>
    </cfRule>
    <cfRule type="containsText" dxfId="107" priority="85" stopIfTrue="1" operator="containsText" text="0.INTRO">
      <formula>NOT(ISERROR(SEARCH("0.INTRO",AN235)))</formula>
    </cfRule>
    <cfRule type="expression" dxfId="106" priority="86" stopIfTrue="1">
      <formula>in_week</formula>
    </cfRule>
  </conditionalFormatting>
  <conditionalFormatting sqref="AN246:AN249">
    <cfRule type="expression" dxfId="105" priority="83" stopIfTrue="1">
      <formula>in_week</formula>
    </cfRule>
  </conditionalFormatting>
  <conditionalFormatting sqref="AN246:AN249">
    <cfRule type="containsText" dxfId="104" priority="82" stopIfTrue="1" operator="containsText" text="0.INTRO">
      <formula>NOT(ISERROR(SEARCH("0.INTRO",AN246)))</formula>
    </cfRule>
  </conditionalFormatting>
  <conditionalFormatting sqref="AN246:AN249">
    <cfRule type="containsText" dxfId="103" priority="81" operator="containsText" text="0. INTRO">
      <formula>NOT(ISERROR(SEARCH("0. INTRO",AN246)))</formula>
    </cfRule>
  </conditionalFormatting>
  <conditionalFormatting sqref="AN250:AN255">
    <cfRule type="expression" dxfId="102" priority="80" stopIfTrue="1">
      <formula>in_week</formula>
    </cfRule>
  </conditionalFormatting>
  <conditionalFormatting sqref="AN250:AN255">
    <cfRule type="containsText" dxfId="101" priority="79" stopIfTrue="1" operator="containsText" text="0.INTRO">
      <formula>NOT(ISERROR(SEARCH("0.INTRO",AN250)))</formula>
    </cfRule>
  </conditionalFormatting>
  <conditionalFormatting sqref="AN250:AN255">
    <cfRule type="containsText" dxfId="100" priority="78" operator="containsText" text="0. INTRO">
      <formula>NOT(ISERROR(SEARCH("0. INTRO",AN250)))</formula>
    </cfRule>
  </conditionalFormatting>
  <conditionalFormatting sqref="AN253">
    <cfRule type="containsText" dxfId="99" priority="75" operator="containsText" text="0. INTRO">
      <formula>NOT(ISERROR(SEARCH("0. INTRO",AN253)))</formula>
    </cfRule>
    <cfRule type="containsText" dxfId="98" priority="76" stopIfTrue="1" operator="containsText" text="0.INTRO">
      <formula>NOT(ISERROR(SEARCH("0.INTRO",AN253)))</formula>
    </cfRule>
    <cfRule type="expression" dxfId="97" priority="77" stopIfTrue="1">
      <formula>in_week</formula>
    </cfRule>
  </conditionalFormatting>
  <conditionalFormatting sqref="AN255">
    <cfRule type="containsText" dxfId="96" priority="72" operator="containsText" text="0. INTRO">
      <formula>NOT(ISERROR(SEARCH("0. INTRO",AN255)))</formula>
    </cfRule>
    <cfRule type="containsText" dxfId="95" priority="73" stopIfTrue="1" operator="containsText" text="0.INTRO">
      <formula>NOT(ISERROR(SEARCH("0.INTRO",AN255)))</formula>
    </cfRule>
    <cfRule type="expression" dxfId="94" priority="74" stopIfTrue="1">
      <formula>in_week</formula>
    </cfRule>
  </conditionalFormatting>
  <conditionalFormatting sqref="AN256:AN261">
    <cfRule type="expression" dxfId="93" priority="71" stopIfTrue="1">
      <formula>in_week</formula>
    </cfRule>
  </conditionalFormatting>
  <conditionalFormatting sqref="AN256:AN261">
    <cfRule type="containsText" dxfId="92" priority="70" stopIfTrue="1" operator="containsText" text="0.INTRO">
      <formula>NOT(ISERROR(SEARCH("0.INTRO",AN256)))</formula>
    </cfRule>
  </conditionalFormatting>
  <conditionalFormatting sqref="AN256:AN261">
    <cfRule type="containsText" dxfId="91" priority="69" operator="containsText" text="0. INTRO">
      <formula>NOT(ISERROR(SEARCH("0. INTRO",AN256)))</formula>
    </cfRule>
  </conditionalFormatting>
  <conditionalFormatting sqref="AN265">
    <cfRule type="expression" dxfId="90" priority="68" stopIfTrue="1">
      <formula>in_week</formula>
    </cfRule>
  </conditionalFormatting>
  <conditionalFormatting sqref="AN262:AN264">
    <cfRule type="expression" dxfId="89" priority="67" stopIfTrue="1">
      <formula>in_week</formula>
    </cfRule>
  </conditionalFormatting>
  <conditionalFormatting sqref="AN262:AN264">
    <cfRule type="containsText" dxfId="88" priority="66" stopIfTrue="1" operator="containsText" text="0.INTRO">
      <formula>NOT(ISERROR(SEARCH("0.INTRO",AN262)))</formula>
    </cfRule>
  </conditionalFormatting>
  <conditionalFormatting sqref="AN262:AN264">
    <cfRule type="containsText" dxfId="87" priority="65" operator="containsText" text="0. INTRO">
      <formula>NOT(ISERROR(SEARCH("0. INTRO",AN262)))</formula>
    </cfRule>
  </conditionalFormatting>
  <conditionalFormatting sqref="AN265">
    <cfRule type="containsText" dxfId="86" priority="64" stopIfTrue="1" operator="containsText" text="0.INTRO">
      <formula>NOT(ISERROR(SEARCH("0.INTRO",AN265)))</formula>
    </cfRule>
  </conditionalFormatting>
  <conditionalFormatting sqref="AN265">
    <cfRule type="containsText" dxfId="85" priority="63" operator="containsText" text="0. INTRO">
      <formula>NOT(ISERROR(SEARCH("0. INTRO",AN265)))</formula>
    </cfRule>
  </conditionalFormatting>
  <conditionalFormatting sqref="AN287">
    <cfRule type="containsText" dxfId="84" priority="59" stopIfTrue="1" operator="containsText" text="0.INTRO">
      <formula>NOT(ISERROR(SEARCH("0.INTRO",AN287)))</formula>
    </cfRule>
  </conditionalFormatting>
  <conditionalFormatting sqref="AN287">
    <cfRule type="containsText" dxfId="83" priority="58" operator="containsText" text="0. INTRO">
      <formula>NOT(ISERROR(SEARCH("0. INTRO",AN287)))</formula>
    </cfRule>
  </conditionalFormatting>
  <conditionalFormatting sqref="AN281:AN282">
    <cfRule type="containsText" dxfId="82" priority="57" stopIfTrue="1" operator="containsText" text="0.INTRO">
      <formula>NOT(ISERROR(SEARCH("0.INTRO",AN281)))</formula>
    </cfRule>
  </conditionalFormatting>
  <conditionalFormatting sqref="AN281:AN282">
    <cfRule type="containsText" dxfId="81" priority="56" operator="containsText" text="0. INTRO">
      <formula>NOT(ISERROR(SEARCH("0. INTRO",AN281)))</formula>
    </cfRule>
  </conditionalFormatting>
  <conditionalFormatting sqref="AN279:AN280">
    <cfRule type="containsText" dxfId="80" priority="55" stopIfTrue="1" operator="containsText" text="0.INTRO">
      <formula>NOT(ISERROR(SEARCH("0.INTRO",AN279)))</formula>
    </cfRule>
  </conditionalFormatting>
  <conditionalFormatting sqref="AN279:AN280">
    <cfRule type="containsText" dxfId="79" priority="54" operator="containsText" text="0. INTRO">
      <formula>NOT(ISERROR(SEARCH("0. INTRO",AN279)))</formula>
    </cfRule>
  </conditionalFormatting>
  <conditionalFormatting sqref="AN279:AN280">
    <cfRule type="containsText" dxfId="78" priority="53" stopIfTrue="1" operator="containsText" text="0.INTRO">
      <formula>NOT(ISERROR(SEARCH("0.INTRO",AN279)))</formula>
    </cfRule>
  </conditionalFormatting>
  <conditionalFormatting sqref="AN279:AN280">
    <cfRule type="containsText" dxfId="77" priority="52" operator="containsText" text="0. INTRO">
      <formula>NOT(ISERROR(SEARCH("0. INTRO",AN279)))</formula>
    </cfRule>
  </conditionalFormatting>
  <conditionalFormatting sqref="AN281:AN282">
    <cfRule type="containsText" dxfId="76" priority="51" stopIfTrue="1" operator="containsText" text="0.INTRO">
      <formula>NOT(ISERROR(SEARCH("0.INTRO",AN281)))</formula>
    </cfRule>
  </conditionalFormatting>
  <conditionalFormatting sqref="AN281:AN282">
    <cfRule type="containsText" dxfId="75" priority="50" operator="containsText" text="0. INTRO">
      <formula>NOT(ISERROR(SEARCH("0. INTRO",AN281)))</formula>
    </cfRule>
  </conditionalFormatting>
  <conditionalFormatting sqref="AN279:AN282">
    <cfRule type="containsText" dxfId="74" priority="49" stopIfTrue="1" operator="containsText" text="0.INTRO">
      <formula>NOT(ISERROR(SEARCH("0.INTRO",AN279)))</formula>
    </cfRule>
  </conditionalFormatting>
  <conditionalFormatting sqref="AN279:AN282">
    <cfRule type="containsText" dxfId="73" priority="48" operator="containsText" text="0. INTRO">
      <formula>NOT(ISERROR(SEARCH("0. INTRO",AN279)))</formula>
    </cfRule>
  </conditionalFormatting>
  <conditionalFormatting sqref="AN283:AN286">
    <cfRule type="containsText" dxfId="72" priority="47" stopIfTrue="1" operator="containsText" text="0.INTRO">
      <formula>NOT(ISERROR(SEARCH("0.INTRO",AN283)))</formula>
    </cfRule>
  </conditionalFormatting>
  <conditionalFormatting sqref="AN283:AN286">
    <cfRule type="containsText" dxfId="71" priority="46" operator="containsText" text="0. INTRO">
      <formula>NOT(ISERROR(SEARCH("0. INTRO",AN283)))</formula>
    </cfRule>
  </conditionalFormatting>
  <conditionalFormatting sqref="AN288:AN294">
    <cfRule type="containsText" dxfId="70" priority="45" stopIfTrue="1" operator="containsText" text="0.INTRO">
      <formula>NOT(ISERROR(SEARCH("0.INTRO",AN288)))</formula>
    </cfRule>
  </conditionalFormatting>
  <conditionalFormatting sqref="AN288:AN294">
    <cfRule type="containsText" dxfId="69" priority="44" operator="containsText" text="0. INTRO">
      <formula>NOT(ISERROR(SEARCH("0. INTRO",AN288)))</formula>
    </cfRule>
  </conditionalFormatting>
  <conditionalFormatting sqref="AN295">
    <cfRule type="containsText" dxfId="68" priority="43" stopIfTrue="1" operator="containsText" text="0.INTRO">
      <formula>NOT(ISERROR(SEARCH("0.INTRO",AN295)))</formula>
    </cfRule>
  </conditionalFormatting>
  <conditionalFormatting sqref="AN295">
    <cfRule type="containsText" dxfId="67" priority="42" operator="containsText" text="0. INTRO">
      <formula>NOT(ISERROR(SEARCH("0. INTRO",AN295)))</formula>
    </cfRule>
  </conditionalFormatting>
  <conditionalFormatting sqref="AN298:AN306">
    <cfRule type="expression" dxfId="66" priority="41" stopIfTrue="1">
      <formula>in_week</formula>
    </cfRule>
  </conditionalFormatting>
  <conditionalFormatting sqref="AN298">
    <cfRule type="containsText" dxfId="65" priority="40" stopIfTrue="1" operator="containsText" text="0.INTRO">
      <formula>NOT(ISERROR(SEARCH("0.INTRO",AN298)))</formula>
    </cfRule>
  </conditionalFormatting>
  <conditionalFormatting sqref="AN298">
    <cfRule type="containsText" dxfId="64" priority="39" operator="containsText" text="0. INTRO">
      <formula>NOT(ISERROR(SEARCH("0. INTRO",AN298)))</formula>
    </cfRule>
  </conditionalFormatting>
  <conditionalFormatting sqref="AN298">
    <cfRule type="expression" dxfId="63" priority="35">
      <formula>in_week</formula>
    </cfRule>
    <cfRule type="expression" dxfId="62" priority="36" stopIfTrue="1">
      <formula>in_week</formula>
    </cfRule>
  </conditionalFormatting>
  <conditionalFormatting sqref="AN298">
    <cfRule type="containsText" dxfId="61" priority="38" stopIfTrue="1" operator="containsText" text="0.INTRO">
      <formula>NOT(ISERROR(SEARCH("0.INTRO",AN298)))</formula>
    </cfRule>
  </conditionalFormatting>
  <conditionalFormatting sqref="AN298">
    <cfRule type="containsText" dxfId="60" priority="37" operator="containsText" text="0. INTRO">
      <formula>NOT(ISERROR(SEARCH("0. INTRO",AN298)))</formula>
    </cfRule>
  </conditionalFormatting>
  <conditionalFormatting sqref="AN299:AN300">
    <cfRule type="expression" dxfId="59" priority="31">
      <formula>in_week</formula>
    </cfRule>
    <cfRule type="expression" dxfId="58" priority="32" stopIfTrue="1">
      <formula>in_week</formula>
    </cfRule>
  </conditionalFormatting>
  <conditionalFormatting sqref="AN299:AN306">
    <cfRule type="containsText" dxfId="57" priority="34" stopIfTrue="1" operator="containsText" text="0.INTRO">
      <formula>NOT(ISERROR(SEARCH("0.INTRO",AN299)))</formula>
    </cfRule>
  </conditionalFormatting>
  <conditionalFormatting sqref="AN299:AN306">
    <cfRule type="containsText" dxfId="56" priority="33" operator="containsText" text="0. INTRO">
      <formula>NOT(ISERROR(SEARCH("0. INTRO",AN299)))</formula>
    </cfRule>
  </conditionalFormatting>
  <conditionalFormatting sqref="AO121:AO123">
    <cfRule type="expression" dxfId="55" priority="30" stopIfTrue="1">
      <formula>in_week</formula>
    </cfRule>
  </conditionalFormatting>
  <conditionalFormatting sqref="AO121:AO123">
    <cfRule type="containsText" dxfId="54" priority="29" stopIfTrue="1" operator="containsText" text="0.INTRO">
      <formula>NOT(ISERROR(SEARCH("0.INTRO",AO121)))</formula>
    </cfRule>
  </conditionalFormatting>
  <conditionalFormatting sqref="AO121:AO123">
    <cfRule type="containsText" dxfId="53" priority="28" operator="containsText" text="0. INTRO">
      <formula>NOT(ISERROR(SEARCH("0. INTRO",AO121)))</formula>
    </cfRule>
  </conditionalFormatting>
  <conditionalFormatting sqref="AO124:AO130">
    <cfRule type="expression" dxfId="52" priority="21" stopIfTrue="1">
      <formula>in_week</formula>
    </cfRule>
  </conditionalFormatting>
  <conditionalFormatting sqref="AO124:AO130">
    <cfRule type="containsText" dxfId="51" priority="20" stopIfTrue="1" operator="containsText" text="0.INTRO">
      <formula>NOT(ISERROR(SEARCH("0.INTRO",AO124)))</formula>
    </cfRule>
  </conditionalFormatting>
  <conditionalFormatting sqref="AO124:AO130">
    <cfRule type="containsText" dxfId="50" priority="19" operator="containsText" text="0. INTRO">
      <formula>NOT(ISERROR(SEARCH("0. INTRO",AO124)))</formula>
    </cfRule>
  </conditionalFormatting>
  <conditionalFormatting sqref="AO131:AO132">
    <cfRule type="expression" dxfId="49" priority="18" stopIfTrue="1">
      <formula>in_week</formula>
    </cfRule>
  </conditionalFormatting>
  <conditionalFormatting sqref="AO131:AO132">
    <cfRule type="containsText" dxfId="48" priority="17" stopIfTrue="1" operator="containsText" text="0.INTRO">
      <formula>NOT(ISERROR(SEARCH("0.INTRO",AO131)))</formula>
    </cfRule>
  </conditionalFormatting>
  <conditionalFormatting sqref="AO131:AO132">
    <cfRule type="containsText" dxfId="47" priority="16" operator="containsText" text="0. INTRO">
      <formula>NOT(ISERROR(SEARCH("0. INTRO",AO131)))</formula>
    </cfRule>
  </conditionalFormatting>
  <conditionalFormatting sqref="AO133:AO138">
    <cfRule type="expression" dxfId="46" priority="15" stopIfTrue="1">
      <formula>in_week</formula>
    </cfRule>
  </conditionalFormatting>
  <conditionalFormatting sqref="AO133:AO138">
    <cfRule type="containsText" dxfId="45" priority="14" stopIfTrue="1" operator="containsText" text="0.INTRO">
      <formula>NOT(ISERROR(SEARCH("0.INTRO",AO133)))</formula>
    </cfRule>
  </conditionalFormatting>
  <conditionalFormatting sqref="AO133:AO138">
    <cfRule type="containsText" dxfId="44" priority="13" operator="containsText" text="0. INTRO">
      <formula>NOT(ISERROR(SEARCH("0. INTRO",AO133)))</formula>
    </cfRule>
  </conditionalFormatting>
  <conditionalFormatting sqref="AQ130:AQ132">
    <cfRule type="expression" dxfId="43" priority="12" stopIfTrue="1">
      <formula>in_week</formula>
    </cfRule>
  </conditionalFormatting>
  <conditionalFormatting sqref="AQ130:AQ132">
    <cfRule type="containsText" dxfId="42" priority="11" stopIfTrue="1" operator="containsText" text="0.INTRO">
      <formula>NOT(ISERROR(SEARCH("0.INTRO",AQ130)))</formula>
    </cfRule>
  </conditionalFormatting>
  <conditionalFormatting sqref="AQ130:AQ132">
    <cfRule type="containsText" dxfId="41" priority="10" operator="containsText" text="0. INTRO">
      <formula>NOT(ISERROR(SEARCH("0. INTRO",AQ130)))</formula>
    </cfRule>
  </conditionalFormatting>
  <conditionalFormatting sqref="AQ133:AQ135">
    <cfRule type="expression" dxfId="40" priority="9" stopIfTrue="1">
      <formula>in_week</formula>
    </cfRule>
  </conditionalFormatting>
  <conditionalFormatting sqref="AQ133:AQ135">
    <cfRule type="containsText" dxfId="39" priority="8" stopIfTrue="1" operator="containsText" text="0.INTRO">
      <formula>NOT(ISERROR(SEARCH("0.INTRO",AQ133)))</formula>
    </cfRule>
  </conditionalFormatting>
  <conditionalFormatting sqref="AQ133:AQ135">
    <cfRule type="containsText" dxfId="38" priority="7" operator="containsText" text="0. INTRO">
      <formula>NOT(ISERROR(SEARCH("0. INTRO",AQ133)))</formula>
    </cfRule>
  </conditionalFormatting>
  <conditionalFormatting sqref="AQ136:AQ139">
    <cfRule type="expression" dxfId="37" priority="6" stopIfTrue="1">
      <formula>in_week</formula>
    </cfRule>
  </conditionalFormatting>
  <conditionalFormatting sqref="AQ136:AQ139">
    <cfRule type="containsText" dxfId="36" priority="5" stopIfTrue="1" operator="containsText" text="0.INTRO">
      <formula>NOT(ISERROR(SEARCH("0.INTRO",AQ136)))</formula>
    </cfRule>
  </conditionalFormatting>
  <conditionalFormatting sqref="AQ136:AQ139">
    <cfRule type="containsText" dxfId="35" priority="4" operator="containsText" text="0. INTRO">
      <formula>NOT(ISERROR(SEARCH("0. INTRO",AQ136)))</formula>
    </cfRule>
  </conditionalFormatting>
  <conditionalFormatting sqref="AQ142:AQ143">
    <cfRule type="expression" dxfId="34" priority="3" stopIfTrue="1">
      <formula>in_week</formula>
    </cfRule>
  </conditionalFormatting>
  <conditionalFormatting sqref="AQ142:AQ143">
    <cfRule type="containsText" dxfId="33" priority="2" stopIfTrue="1" operator="containsText" text="0.INTRO">
      <formula>NOT(ISERROR(SEARCH("0.INTRO",AQ142)))</formula>
    </cfRule>
  </conditionalFormatting>
  <conditionalFormatting sqref="AQ142:AQ143">
    <cfRule type="containsText" dxfId="32" priority="1" operator="containsText" text="0. INTRO">
      <formula>NOT(ISERROR(SEARCH("0. INTRO",AQ142)))</formula>
    </cfRule>
  </conditionalFormatting>
  <hyperlinks>
    <hyperlink ref="A5" r:id="rId1" xr:uid="{3B4F4C54-4666-4D8F-B4CF-4D645A6268CA}"/>
    <hyperlink ref="A6" r:id="rId2" xr:uid="{2A8B401D-B4BA-49D0-9702-F97E80735276}"/>
    <hyperlink ref="A8" r:id="rId3" xr:uid="{C42E39D5-0C19-4B48-9A6C-82D68EE0E710}"/>
    <hyperlink ref="A7" r:id="rId4" xr:uid="{D4EA121F-744A-4591-9E90-79A005B95724}"/>
    <hyperlink ref="L14" r:id="rId5" xr:uid="{61577C05-2E50-4A4A-81F5-91DAC85E88B5}"/>
    <hyperlink ref="L15" r:id="rId6" xr:uid="{561C66D1-4279-4C54-A4DD-B68B31CD7349}"/>
    <hyperlink ref="M14" r:id="rId7" xr:uid="{22106391-1028-4C0C-80A1-A232DAF37A4F}"/>
    <hyperlink ref="N14" r:id="rId8" xr:uid="{5CFEDDB1-2FA5-4641-A582-14D59A828153}"/>
    <hyperlink ref="O14" r:id="rId9" xr:uid="{00FE5BEE-70C2-4E9B-8078-FDB175524C74}"/>
    <hyperlink ref="P14" r:id="rId10" xr:uid="{822A8935-0285-4541-86CC-E4B77C75E51F}"/>
    <hyperlink ref="Q14" r:id="rId11" xr:uid="{ECA4A30E-F1E8-4790-924D-AB15FAB212F1}"/>
    <hyperlink ref="R14" r:id="rId12" xr:uid="{5372937D-5549-4C56-80DE-F9F86731FD9C}"/>
    <hyperlink ref="S14" r:id="rId13" xr:uid="{612B5635-A65D-495D-9E9C-35E2366DDF99}"/>
    <hyperlink ref="T14" r:id="rId14" xr:uid="{55B52A6E-B059-4E2B-82FE-6AF860AC8C77}"/>
    <hyperlink ref="U14" r:id="rId15" xr:uid="{E754AA69-DCCA-407C-9A7E-27A134EB6CEC}"/>
    <hyperlink ref="V14" r:id="rId16" xr:uid="{FF137BB4-65A5-408C-8F9A-890336CF7B0C}"/>
    <hyperlink ref="W14" r:id="rId17" xr:uid="{467C1D92-4894-403C-BFD9-9D9B38869222}"/>
    <hyperlink ref="X14" r:id="rId18" xr:uid="{7384E81F-22D5-4F06-B251-CFBCE62BD6E7}"/>
    <hyperlink ref="Y14" r:id="rId19" xr:uid="{C903B079-7B27-4052-A5D5-F5BEEC3F1DFD}"/>
    <hyperlink ref="Z14" r:id="rId20" xr:uid="{874281B6-F7B3-4FA6-BF36-298AEBB217C4}"/>
    <hyperlink ref="AA14" r:id="rId21" xr:uid="{995B10ED-5739-4B49-B8CB-514AD2F9B818}"/>
    <hyperlink ref="AB14" r:id="rId22" xr:uid="{B5A777F5-431D-4C82-850E-D1FD9EF790CE}"/>
    <hyperlink ref="AC14" r:id="rId23" xr:uid="{0763CF10-3834-47F7-B7E3-F7C838747D63}"/>
    <hyperlink ref="AD14" r:id="rId24" xr:uid="{0180A485-7B7B-49B3-90CD-EBBBF1CFDD41}"/>
    <hyperlink ref="AE14" r:id="rId25" xr:uid="{D1C45435-C9A8-4537-B3DF-25AA8F02CD06}"/>
    <hyperlink ref="AF14" r:id="rId26" xr:uid="{AAAB1B10-837A-4D27-85A4-3F5AEF3C692B}"/>
    <hyperlink ref="AG14" r:id="rId27" xr:uid="{30B95BC3-1B43-4708-BFF4-50541070E257}"/>
    <hyperlink ref="AH14" r:id="rId28" xr:uid="{87ED6A58-9BBD-4BFA-AEA9-95C647A71A05}"/>
    <hyperlink ref="AI14" r:id="rId29" xr:uid="{A8C55C65-CA15-4C8D-845A-1DF5A5488EFC}"/>
    <hyperlink ref="AJ14" r:id="rId30" xr:uid="{25E4E155-BEFE-44EE-A312-4466A3E06399}"/>
    <hyperlink ref="M15" r:id="rId31" xr:uid="{6A1AA372-11CA-4701-8469-6F0D9CC8193F}"/>
    <hyperlink ref="N15" r:id="rId32" xr:uid="{45CBF77F-B7C3-46F1-AEDE-CCA1D897A15F}"/>
    <hyperlink ref="P15" r:id="rId33" xr:uid="{84BAD151-6D27-468B-A718-E9E206C962DC}"/>
    <hyperlink ref="O15" r:id="rId34" xr:uid="{5426EB45-5FA0-4015-A8A1-1A57F8456A64}"/>
    <hyperlink ref="Q15" r:id="rId35" xr:uid="{FB3C0E9A-9B68-449A-9F2E-891C900CD6DE}"/>
    <hyperlink ref="R15" r:id="rId36" xr:uid="{1EDBF67A-BF69-417B-840A-508B11698A7E}"/>
    <hyperlink ref="S15" r:id="rId37" xr:uid="{20449D6C-3897-43E7-9EF0-7BBBE36B7DA8}"/>
    <hyperlink ref="T15" r:id="rId38" xr:uid="{CA3651E7-8012-4E60-A43D-ADB88F22297E}"/>
    <hyperlink ref="U15" r:id="rId39" xr:uid="{FAB02C4D-2BC0-47D8-B425-DE21E599AC42}"/>
    <hyperlink ref="V15" r:id="rId40" xr:uid="{6981550B-6CE9-457E-8B70-1302BE5D557F}"/>
    <hyperlink ref="W15" r:id="rId41" xr:uid="{9ECF0251-B354-49E4-AE9B-05234C05064D}"/>
    <hyperlink ref="J15" r:id="rId42" xr:uid="{8BF3EC22-E05B-4CD3-A52A-8D6F931EF471}"/>
    <hyperlink ref="K15" r:id="rId43" xr:uid="{0006912C-55AB-49F6-8F65-8A984ED5E548}"/>
    <hyperlink ref="X15" r:id="rId44" xr:uid="{52559047-7E8D-42BF-B4B4-595E185EE916}"/>
    <hyperlink ref="Y15" r:id="rId45" xr:uid="{A991B309-55D0-48C5-8414-2421B993C12F}"/>
    <hyperlink ref="Z15" r:id="rId46" xr:uid="{8421143F-8459-4746-86CD-7E194B2A0886}"/>
    <hyperlink ref="AA15" r:id="rId47" xr:uid="{741B6F95-4823-423D-900D-6EF75AB642FA}"/>
    <hyperlink ref="AB15" r:id="rId48" xr:uid="{C55DDD61-05C4-45CE-AB90-51711E5D368A}"/>
    <hyperlink ref="AC15" r:id="rId49" xr:uid="{598AA714-007B-4540-BF1A-2A28F9AC8157}"/>
    <hyperlink ref="AD15" r:id="rId50" xr:uid="{9CF8A902-8B9D-4606-912D-E2BD7EA7EB56}"/>
    <hyperlink ref="AE15" r:id="rId51" xr:uid="{086FE13A-929D-4DFE-B9DD-240FC1851975}"/>
    <hyperlink ref="AF15" r:id="rId52" xr:uid="{A7766CAF-2334-4B8F-B67B-65C36AC2D9A8}"/>
    <hyperlink ref="AG15" r:id="rId53" xr:uid="{26F23108-B005-4E5E-8F4F-E195F422ECF3}"/>
    <hyperlink ref="AH15" r:id="rId54" xr:uid="{CE1BC400-8DC1-424D-BA39-8B9102971FB2}"/>
    <hyperlink ref="AJ15" r:id="rId55" xr:uid="{1A93B4D7-3C1A-48A6-B5D0-DB93125A2A71}"/>
    <hyperlink ref="AI15" r:id="rId56" xr:uid="{AD77823F-E9C0-42B1-ACCE-9216D036BF33}"/>
    <hyperlink ref="AK14" r:id="rId57" xr:uid="{BEEECAFE-C902-4259-A352-9E3C8C17B93C}"/>
    <hyperlink ref="AK15" r:id="rId58" xr:uid="{BE43A81C-B468-4EB7-84BF-72BEE77B7EB3}"/>
    <hyperlink ref="AL14" r:id="rId59" xr:uid="{5AC8B678-84F9-44B0-98F8-EF78E93EF323}"/>
    <hyperlink ref="AL15" r:id="rId60" xr:uid="{8C33A470-C970-47D6-813B-92A3750A681B}"/>
    <hyperlink ref="AM14" r:id="rId61" xr:uid="{41D5967F-E363-475C-B4D3-0E6CE84AE1E5}"/>
    <hyperlink ref="AM15" r:id="rId62" xr:uid="{ED7582F4-9753-4253-A4E1-A027ECA815E2}"/>
    <hyperlink ref="AN14" r:id="rId63" xr:uid="{E21513F1-ACDA-482E-A4B1-35849B6321EE}"/>
    <hyperlink ref="AN15" r:id="rId64" xr:uid="{86830BEE-EF1B-49A3-AA72-DEDED5BFE229}"/>
  </hyperlinks>
  <pageMargins left="0.7" right="0.7" top="0.75" bottom="0.75" header="0.3" footer="0.3"/>
  <pageSetup orientation="portrait"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E3EC-2FC2-3848-85A7-5FB7D9FACF9E}">
  <dimension ref="A6:S37"/>
  <sheetViews>
    <sheetView topLeftCell="A9" zoomScale="55" zoomScaleNormal="55" workbookViewId="0">
      <selection activeCell="B26" sqref="B26"/>
    </sheetView>
  </sheetViews>
  <sheetFormatPr defaultColWidth="11.42578125" defaultRowHeight="15"/>
  <cols>
    <col min="1" max="1" width="25.85546875" customWidth="1"/>
    <col min="3" max="3" width="27.42578125" bestFit="1" customWidth="1"/>
    <col min="4" max="19" width="21.140625" customWidth="1"/>
  </cols>
  <sheetData>
    <row r="6" spans="1:19" ht="30.95">
      <c r="A6" s="28"/>
      <c r="B6" s="28"/>
      <c r="C6" s="29" t="str">
        <f>'AUG2022 FED'!C15</f>
        <v>Link To Moodle Year 2</v>
      </c>
      <c r="D6" s="29" t="e">
        <f>'AUG2022 FED'!#REF!</f>
        <v>#REF!</v>
      </c>
      <c r="E6" s="29" t="str">
        <f>'AUG2022 FED'!K15</f>
        <v>AUG24PT</v>
      </c>
      <c r="F6" s="29" t="e">
        <f>'AUG2022 FED'!#REF!</f>
        <v>#REF!</v>
      </c>
      <c r="G6" s="29" t="e">
        <f>'AUG2022 FED'!#REF!</f>
        <v>#REF!</v>
      </c>
      <c r="H6" s="29" t="e">
        <f>'AUG2022 FED'!#REF!</f>
        <v>#REF!</v>
      </c>
      <c r="I6" s="29" t="e">
        <f>'AUG2022 FED'!#REF!</f>
        <v>#REF!</v>
      </c>
      <c r="J6" s="29" t="e">
        <f>'AUG2022 FED'!#REF!</f>
        <v>#REF!</v>
      </c>
      <c r="K6" s="29" t="e">
        <f>'AUG2022 FED'!#REF!</f>
        <v>#REF!</v>
      </c>
      <c r="L6" s="29" t="e">
        <f>'AUG2022 FED'!#REF!</f>
        <v>#REF!</v>
      </c>
      <c r="M6" s="29" t="e">
        <f>'AUG2022 FED'!#REF!</f>
        <v>#REF!</v>
      </c>
      <c r="N6" s="29" t="e">
        <f>'AUG2022 FED'!#REF!</f>
        <v>#REF!</v>
      </c>
      <c r="O6" s="29" t="e">
        <f>'AUG2022 FED'!#REF!</f>
        <v>#REF!</v>
      </c>
      <c r="P6" s="29" t="e">
        <f>'AUG2022 FED'!#REF!</f>
        <v>#REF!</v>
      </c>
      <c r="Q6" s="29" t="e">
        <f>'AUG2022 FED'!#REF!</f>
        <v>#REF!</v>
      </c>
      <c r="R6" s="29" t="e">
        <f>'AUG2022 FED'!#REF!</f>
        <v>#REF!</v>
      </c>
      <c r="S6" s="29" t="e">
        <f>'AUG2022 FED'!#REF!</f>
        <v>#REF!</v>
      </c>
    </row>
    <row r="7" spans="1:19" ht="30.95">
      <c r="A7" s="34">
        <f>A8-7</f>
        <v>45327</v>
      </c>
      <c r="B7" s="35"/>
      <c r="C7" s="36" t="e" cm="1">
        <f t="array" ref="C7">_xlfn.XLOOKUP(A7,weeks,'AUG2022 FED'!C15:R99)</f>
        <v>#VALUE!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</row>
    <row r="8" spans="1:19" ht="30.95">
      <c r="A8" s="30">
        <v>45334</v>
      </c>
      <c r="B8" s="31"/>
      <c r="C8" s="32" t="e" cm="1">
        <f t="array" ref="C8">_xlfn.XLOOKUP(A8,weeks,'AUG2022 FED'!C15:R99)</f>
        <v>#VALUE!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ht="30.95">
      <c r="A9" s="34">
        <f>A8+7</f>
        <v>45341</v>
      </c>
      <c r="B9" s="35"/>
      <c r="C9" s="37" t="e" cm="1">
        <f t="array" ref="C9">_xlfn.XLOOKUP(A9,weeks,'AUG2022 FED'!C15:R99)</f>
        <v>#VALUE!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</row>
    <row r="26" spans="2:2">
      <c r="B26" t="s">
        <v>49</v>
      </c>
    </row>
    <row r="27" spans="2:2">
      <c r="B27" t="s">
        <v>50</v>
      </c>
    </row>
    <row r="28" spans="2:2">
      <c r="B28" t="s">
        <v>51</v>
      </c>
    </row>
    <row r="29" spans="2:2">
      <c r="B29" t="s">
        <v>52</v>
      </c>
    </row>
    <row r="30" spans="2:2">
      <c r="B30" t="s">
        <v>53</v>
      </c>
    </row>
    <row r="31" spans="2:2">
      <c r="B31" t="s">
        <v>54</v>
      </c>
    </row>
    <row r="32" spans="2:2">
      <c r="B32" t="s">
        <v>55</v>
      </c>
    </row>
    <row r="33" spans="2:2">
      <c r="B33" t="s">
        <v>56</v>
      </c>
    </row>
    <row r="34" spans="2:2">
      <c r="B34" t="s">
        <v>57</v>
      </c>
    </row>
    <row r="35" spans="2:2">
      <c r="B35" t="s">
        <v>58</v>
      </c>
    </row>
    <row r="36" spans="2:2">
      <c r="B36" t="s">
        <v>59</v>
      </c>
    </row>
    <row r="37" spans="2:2">
      <c r="B37" t="s">
        <v>60</v>
      </c>
    </row>
  </sheetData>
  <conditionalFormatting sqref="D7:S7">
    <cfRule type="cellIs" dxfId="31" priority="1" stopIfTrue="1" operator="equal">
      <formula>0</formula>
    </cfRule>
  </conditionalFormatting>
  <conditionalFormatting sqref="D8:S9">
    <cfRule type="cellIs" dxfId="30" priority="19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B9A8-24B0-4DED-AA4E-F439FDF27F67}">
  <dimension ref="A1:H42"/>
  <sheetViews>
    <sheetView topLeftCell="A10" workbookViewId="0">
      <selection activeCell="A36" sqref="A36:B37"/>
    </sheetView>
  </sheetViews>
  <sheetFormatPr defaultRowHeight="15"/>
  <sheetData>
    <row r="1" spans="1:8">
      <c r="A1" s="279" t="s">
        <v>361</v>
      </c>
      <c r="B1" s="279"/>
      <c r="G1" s="279" t="s">
        <v>362</v>
      </c>
      <c r="H1" s="279"/>
    </row>
    <row r="2" spans="1:8">
      <c r="A2" t="s">
        <v>363</v>
      </c>
      <c r="B2" t="s">
        <v>364</v>
      </c>
    </row>
    <row r="3" spans="1:8">
      <c r="A3" s="3" t="s">
        <v>97</v>
      </c>
      <c r="B3" s="3" t="s">
        <v>245</v>
      </c>
    </row>
    <row r="4" spans="1:8">
      <c r="A4" s="3" t="s">
        <v>119</v>
      </c>
      <c r="B4" s="3" t="s">
        <v>207</v>
      </c>
    </row>
    <row r="5" spans="1:8">
      <c r="A5" s="49" t="s">
        <v>135</v>
      </c>
      <c r="B5" s="49" t="s">
        <v>212</v>
      </c>
    </row>
    <row r="6" spans="1:8">
      <c r="A6" s="49" t="s">
        <v>145</v>
      </c>
      <c r="B6" s="49" t="s">
        <v>170</v>
      </c>
    </row>
    <row r="7" spans="1:8">
      <c r="A7" s="49" t="s">
        <v>157</v>
      </c>
      <c r="B7" s="49" t="s">
        <v>189</v>
      </c>
    </row>
    <row r="8" spans="1:8">
      <c r="A8" s="4" t="s">
        <v>165</v>
      </c>
      <c r="B8" s="49" t="s">
        <v>204</v>
      </c>
    </row>
    <row r="9" spans="1:8">
      <c r="A9" s="3" t="s">
        <v>177</v>
      </c>
      <c r="B9" s="4" t="s">
        <v>96</v>
      </c>
    </row>
    <row r="10" spans="1:8">
      <c r="A10" s="49" t="s">
        <v>185</v>
      </c>
      <c r="B10" s="3" t="s">
        <v>231</v>
      </c>
    </row>
    <row r="11" spans="1:8">
      <c r="A11" s="49" t="s">
        <v>196</v>
      </c>
      <c r="B11" s="49" t="s">
        <v>235</v>
      </c>
    </row>
    <row r="12" spans="1:8">
      <c r="A12" s="49" t="s">
        <v>202</v>
      </c>
      <c r="B12" s="4" t="s">
        <v>160</v>
      </c>
    </row>
    <row r="13" spans="1:8">
      <c r="A13" s="49" t="s">
        <v>209</v>
      </c>
      <c r="B13" s="3" t="s">
        <v>247</v>
      </c>
    </row>
    <row r="14" spans="1:8">
      <c r="A14" s="4" t="s">
        <v>213</v>
      </c>
      <c r="B14" s="49" t="s">
        <v>251</v>
      </c>
    </row>
    <row r="15" spans="1:8">
      <c r="A15" s="3" t="s">
        <v>217</v>
      </c>
      <c r="B15" s="4" t="s">
        <v>255</v>
      </c>
    </row>
    <row r="16" spans="1:8">
      <c r="A16" s="4" t="s">
        <v>220</v>
      </c>
      <c r="B16" s="3" t="s">
        <v>113</v>
      </c>
    </row>
    <row r="17" spans="1:2">
      <c r="A17" s="3" t="s">
        <v>224</v>
      </c>
      <c r="B17" s="49" t="s">
        <v>127</v>
      </c>
    </row>
    <row r="18" spans="1:2">
      <c r="A18" s="49" t="s">
        <v>227</v>
      </c>
      <c r="B18" s="49" t="s">
        <v>140</v>
      </c>
    </row>
    <row r="19" spans="1:2">
      <c r="A19" s="49" t="s">
        <v>232</v>
      </c>
      <c r="B19" s="49" t="s">
        <v>94</v>
      </c>
    </row>
    <row r="20" spans="1:2">
      <c r="A20" s="4" t="s">
        <v>236</v>
      </c>
      <c r="B20" s="4" t="s">
        <v>123</v>
      </c>
    </row>
    <row r="21" spans="1:2">
      <c r="A21" s="3" t="s">
        <v>239</v>
      </c>
      <c r="B21" s="3" t="s">
        <v>277</v>
      </c>
    </row>
    <row r="22" spans="1:2">
      <c r="A22" s="49" t="s">
        <v>248</v>
      </c>
      <c r="B22" s="49" t="s">
        <v>282</v>
      </c>
    </row>
    <row r="23" spans="1:2">
      <c r="A23" s="49" t="s">
        <v>252</v>
      </c>
      <c r="B23" s="49" t="s">
        <v>287</v>
      </c>
    </row>
    <row r="24" spans="1:2">
      <c r="A24" s="49" t="s">
        <v>257</v>
      </c>
      <c r="B24" s="4" t="s">
        <v>93</v>
      </c>
    </row>
    <row r="25" spans="1:2">
      <c r="A25" s="49" t="s">
        <v>260</v>
      </c>
      <c r="B25" s="3" t="s">
        <v>294</v>
      </c>
    </row>
    <row r="26" spans="1:2">
      <c r="A26" s="49" t="s">
        <v>263</v>
      </c>
      <c r="B26" s="49" t="s">
        <v>296</v>
      </c>
    </row>
    <row r="27" spans="1:2">
      <c r="A27" s="49" t="s">
        <v>266</v>
      </c>
      <c r="B27" s="49" t="s">
        <v>300</v>
      </c>
    </row>
    <row r="28" spans="1:2">
      <c r="A28" s="4" t="s">
        <v>269</v>
      </c>
      <c r="B28" s="49" t="s">
        <v>139</v>
      </c>
    </row>
    <row r="29" spans="1:2">
      <c r="A29" s="3" t="s">
        <v>273</v>
      </c>
      <c r="B29" s="49" t="s">
        <v>92</v>
      </c>
    </row>
    <row r="30" spans="1:2">
      <c r="A30" s="49" t="s">
        <v>278</v>
      </c>
      <c r="B30" s="4" t="s">
        <v>110</v>
      </c>
    </row>
    <row r="31" spans="1:2">
      <c r="A31" s="49" t="s">
        <v>283</v>
      </c>
      <c r="B31" s="3" t="s">
        <v>306</v>
      </c>
    </row>
    <row r="32" spans="1:2">
      <c r="A32" s="49" t="s">
        <v>288</v>
      </c>
      <c r="B32" s="49" t="s">
        <v>308</v>
      </c>
    </row>
    <row r="33" spans="1:2">
      <c r="A33" s="49" t="s">
        <v>291</v>
      </c>
      <c r="B33" s="49" t="s">
        <v>310</v>
      </c>
    </row>
    <row r="34" spans="1:2">
      <c r="A34" s="4" t="s">
        <v>103</v>
      </c>
      <c r="B34" s="4" t="s">
        <v>293</v>
      </c>
    </row>
    <row r="35" spans="1:2">
      <c r="A35" s="3" t="s">
        <v>115</v>
      </c>
      <c r="B35" s="3" t="s">
        <v>122</v>
      </c>
    </row>
    <row r="36" spans="1:2">
      <c r="A36" s="49" t="s">
        <v>131</v>
      </c>
      <c r="B36" s="49" t="s">
        <v>148</v>
      </c>
    </row>
    <row r="37" spans="1:2">
      <c r="A37" s="49" t="s">
        <v>142</v>
      </c>
      <c r="B37" s="49" t="s">
        <v>168</v>
      </c>
    </row>
    <row r="38" spans="1:2">
      <c r="A38" s="49" t="s">
        <v>154</v>
      </c>
      <c r="B38" s="49" t="s">
        <v>90</v>
      </c>
    </row>
    <row r="39" spans="1:2">
      <c r="A39" s="49" t="s">
        <v>162</v>
      </c>
      <c r="B39" s="49" t="s">
        <v>121</v>
      </c>
    </row>
    <row r="40" spans="1:2">
      <c r="A40" s="4" t="s">
        <v>174</v>
      </c>
      <c r="B40" s="4" t="s">
        <v>147</v>
      </c>
    </row>
    <row r="41" spans="1:2">
      <c r="A41" s="3" t="s">
        <v>182</v>
      </c>
      <c r="B41" s="3" t="s">
        <v>167</v>
      </c>
    </row>
    <row r="42" spans="1:2">
      <c r="A42" s="4" t="s">
        <v>193</v>
      </c>
      <c r="B42" s="4" t="s">
        <v>187</v>
      </c>
    </row>
  </sheetData>
  <mergeCells count="2">
    <mergeCell ref="A1:B1"/>
    <mergeCell ref="G1:H1"/>
  </mergeCells>
  <conditionalFormatting sqref="A3:A16">
    <cfRule type="expression" dxfId="29" priority="30" stopIfTrue="1">
      <formula>in_week</formula>
    </cfRule>
  </conditionalFormatting>
  <conditionalFormatting sqref="A3:A16">
    <cfRule type="containsText" dxfId="28" priority="28" operator="containsText" text="0. INTRO">
      <formula>NOT(ISERROR(SEARCH("0. INTRO",A3)))</formula>
    </cfRule>
    <cfRule type="containsText" dxfId="27" priority="29" stopIfTrue="1" operator="containsText" text="0.INTRO">
      <formula>NOT(ISERROR(SEARCH("0.INTRO",A3)))</formula>
    </cfRule>
  </conditionalFormatting>
  <conditionalFormatting sqref="A17:A23">
    <cfRule type="expression" dxfId="26" priority="27" stopIfTrue="1">
      <formula>in_week</formula>
    </cfRule>
  </conditionalFormatting>
  <conditionalFormatting sqref="A17:A23">
    <cfRule type="containsText" dxfId="25" priority="25" operator="containsText" text="0. INTRO">
      <formula>NOT(ISERROR(SEARCH("0. INTRO",A17)))</formula>
    </cfRule>
    <cfRule type="containsText" dxfId="24" priority="26" stopIfTrue="1" operator="containsText" text="0.INTRO">
      <formula>NOT(ISERROR(SEARCH("0.INTRO",A17)))</formula>
    </cfRule>
  </conditionalFormatting>
  <conditionalFormatting sqref="A24:A42">
    <cfRule type="expression" dxfId="23" priority="24" stopIfTrue="1">
      <formula>in_week</formula>
    </cfRule>
  </conditionalFormatting>
  <conditionalFormatting sqref="A24:A42">
    <cfRule type="containsText" dxfId="22" priority="22" operator="containsText" text="0. INTRO">
      <formula>NOT(ISERROR(SEARCH("0. INTRO",A24)))</formula>
    </cfRule>
    <cfRule type="containsText" dxfId="21" priority="23" stopIfTrue="1" operator="containsText" text="0.INTRO">
      <formula>NOT(ISERROR(SEARCH("0.INTRO",A24)))</formula>
    </cfRule>
  </conditionalFormatting>
  <conditionalFormatting sqref="B3:B7">
    <cfRule type="expression" dxfId="20" priority="21" stopIfTrue="1">
      <formula>in_week</formula>
    </cfRule>
  </conditionalFormatting>
  <conditionalFormatting sqref="B3:B7">
    <cfRule type="containsText" dxfId="19" priority="19" operator="containsText" text="0. INTRO">
      <formula>NOT(ISERROR(SEARCH("0. INTRO",B3)))</formula>
    </cfRule>
    <cfRule type="containsText" dxfId="18" priority="20" stopIfTrue="1" operator="containsText" text="0.INTRO">
      <formula>NOT(ISERROR(SEARCH("0.INTRO",B3)))</formula>
    </cfRule>
  </conditionalFormatting>
  <conditionalFormatting sqref="B8:B14">
    <cfRule type="expression" dxfId="17" priority="18" stopIfTrue="1">
      <formula>in_week</formula>
    </cfRule>
  </conditionalFormatting>
  <conditionalFormatting sqref="B8:B14">
    <cfRule type="containsText" dxfId="16" priority="16" operator="containsText" text="0. INTRO">
      <formula>NOT(ISERROR(SEARCH("0. INTRO",B8)))</formula>
    </cfRule>
    <cfRule type="containsText" dxfId="15" priority="17" stopIfTrue="1" operator="containsText" text="0.INTRO">
      <formula>NOT(ISERROR(SEARCH("0.INTRO",B8)))</formula>
    </cfRule>
  </conditionalFormatting>
  <conditionalFormatting sqref="B15:B23">
    <cfRule type="expression" dxfId="14" priority="15" stopIfTrue="1">
      <formula>in_week</formula>
    </cfRule>
  </conditionalFormatting>
  <conditionalFormatting sqref="B15:B23">
    <cfRule type="containsText" dxfId="13" priority="13" operator="containsText" text="0. INTRO">
      <formula>NOT(ISERROR(SEARCH("0. INTRO",B15)))</formula>
    </cfRule>
    <cfRule type="containsText" dxfId="12" priority="14" stopIfTrue="1" operator="containsText" text="0.INTRO">
      <formula>NOT(ISERROR(SEARCH("0.INTRO",B15)))</formula>
    </cfRule>
  </conditionalFormatting>
  <conditionalFormatting sqref="B24 B26:B33">
    <cfRule type="expression" dxfId="11" priority="12" stopIfTrue="1">
      <formula>in_week</formula>
    </cfRule>
  </conditionalFormatting>
  <conditionalFormatting sqref="B24 B26:B33">
    <cfRule type="containsText" dxfId="10" priority="10" operator="containsText" text="0. INTRO">
      <formula>NOT(ISERROR(SEARCH("0. INTRO",B24)))</formula>
    </cfRule>
    <cfRule type="containsText" dxfId="9" priority="11" stopIfTrue="1" operator="containsText" text="0.INTRO">
      <formula>NOT(ISERROR(SEARCH("0.INTRO",B24)))</formula>
    </cfRule>
  </conditionalFormatting>
  <conditionalFormatting sqref="B34:B35 B38:B42">
    <cfRule type="expression" dxfId="8" priority="9" stopIfTrue="1">
      <formula>in_week</formula>
    </cfRule>
  </conditionalFormatting>
  <conditionalFormatting sqref="B34:B35 B38:B42">
    <cfRule type="containsText" dxfId="7" priority="7" operator="containsText" text="0. INTRO">
      <formula>NOT(ISERROR(SEARCH("0. INTRO",B34)))</formula>
    </cfRule>
    <cfRule type="containsText" dxfId="6" priority="8" stopIfTrue="1" operator="containsText" text="0.INTRO">
      <formula>NOT(ISERROR(SEARCH("0.INTRO",B34)))</formula>
    </cfRule>
  </conditionalFormatting>
  <conditionalFormatting sqref="B25">
    <cfRule type="expression" dxfId="5" priority="6" stopIfTrue="1">
      <formula>in_week</formula>
    </cfRule>
  </conditionalFormatting>
  <conditionalFormatting sqref="B25">
    <cfRule type="containsText" dxfId="4" priority="4" operator="containsText" text="0. INTRO">
      <formula>NOT(ISERROR(SEARCH("0. INTRO",B25)))</formula>
    </cfRule>
    <cfRule type="containsText" dxfId="3" priority="5" stopIfTrue="1" operator="containsText" text="0.INTRO">
      <formula>NOT(ISERROR(SEARCH("0.INTRO",B25)))</formula>
    </cfRule>
  </conditionalFormatting>
  <conditionalFormatting sqref="B36:B37">
    <cfRule type="expression" dxfId="2" priority="3" stopIfTrue="1">
      <formula>in_week</formula>
    </cfRule>
  </conditionalFormatting>
  <conditionalFormatting sqref="B36:B37">
    <cfRule type="containsText" dxfId="1" priority="1" operator="containsText" text="0. INTRO">
      <formula>NOT(ISERROR(SEARCH("0. INTRO",B36)))</formula>
    </cfRule>
    <cfRule type="containsText" dxfId="0" priority="2" stopIfTrue="1" operator="containsText" text="0.INTRO">
      <formula>NOT(ISERROR(SEARCH("0.INTRO",B36)))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5c7db4-d700-4d6c-9c6b-fcdf7f57c94b" xsi:nil="true"/>
    <lcf76f155ced4ddcb4097134ff3c332f xmlns="83ae3263-c855-44d4-921e-0cbfcee650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8725C656DBE45A7A61E80B4C80139" ma:contentTypeVersion="14" ma:contentTypeDescription="Create a new document." ma:contentTypeScope="" ma:versionID="32f04f698a28df88e17b553a6e7864e7">
  <xsd:schema xmlns:xsd="http://www.w3.org/2001/XMLSchema" xmlns:xs="http://www.w3.org/2001/XMLSchema" xmlns:p="http://schemas.microsoft.com/office/2006/metadata/properties" xmlns:ns2="83ae3263-c855-44d4-921e-0cbfcee650d6" xmlns:ns3="795c7db4-d700-4d6c-9c6b-fcdf7f57c94b" targetNamespace="http://schemas.microsoft.com/office/2006/metadata/properties" ma:root="true" ma:fieldsID="2e426d4650473d2aa42b6904836e4e9a" ns2:_="" ns3:_="">
    <xsd:import namespace="83ae3263-c855-44d4-921e-0cbfcee650d6"/>
    <xsd:import namespace="795c7db4-d700-4d6c-9c6b-fcdf7f57c9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e3263-c855-44d4-921e-0cbfcee65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c7db4-d700-4d6c-9c6b-fcdf7f57c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13278e-c7ea-4980-8bc0-b7c6bab6b5cb}" ma:internalName="TaxCatchAll" ma:showField="CatchAllData" ma:web="795c7db4-d700-4d6c-9c6b-fcdf7f57c9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0FA1B8-594C-4D21-939D-C6AC30B1CFBF}"/>
</file>

<file path=customXml/itemProps2.xml><?xml version="1.0" encoding="utf-8"?>
<ds:datastoreItem xmlns:ds="http://schemas.openxmlformats.org/officeDocument/2006/customXml" ds:itemID="{24876A99-9105-49B8-B6F3-E82DBF1021B3}"/>
</file>

<file path=customXml/itemProps3.xml><?xml version="1.0" encoding="utf-8"?>
<ds:datastoreItem xmlns:ds="http://schemas.openxmlformats.org/officeDocument/2006/customXml" ds:itemID="{80EE7AF1-311C-4388-92F8-EAC556FBD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Tamlyn Frantz</cp:lastModifiedBy>
  <cp:revision/>
  <dcterms:created xsi:type="dcterms:W3CDTF">2015-06-05T18:17:20Z</dcterms:created>
  <dcterms:modified xsi:type="dcterms:W3CDTF">2026-03-25T14:00:20Z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0x010100D968725C656DBE45A7A61E80B4C80139</vt:lpwstr>
  </property>
  <property fmtid="{D5CDD505-2E9C-101B-9397-08002B2CF9AE}" pid="3" name="MediaServiceImageTags">
    <vt:lpwstr/>
  </property>
</Properties>
</file>