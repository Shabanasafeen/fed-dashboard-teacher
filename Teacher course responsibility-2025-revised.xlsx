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ymac/Downloads/"/>
    </mc:Choice>
  </mc:AlternateContent>
  <xr:revisionPtr revIDLastSave="0" documentId="13_ncr:1_{4CBAE426-A86B-8A4F-9C22-5827240E2660}" xr6:coauthVersionLast="47" xr6:coauthVersionMax="47" xr10:uidLastSave="{00000000-0000-0000-0000-000000000000}"/>
  <bookViews>
    <workbookView xWindow="0" yWindow="820" windowWidth="28800" windowHeight="18000" xr2:uid="{AA154992-2E40-CD4C-B68B-25C67D8B9A55}"/>
  </bookViews>
  <sheets>
    <sheet name="Sheet1" sheetId="1" r:id="rId1"/>
  </sheets>
  <definedNames>
    <definedName name="isResigned">IF(Sheet1!$F1="YES",TRUE,FALSE)</definedName>
    <definedName name="resigned">COUNTIF(Sheet1!$I$13:$J$16,Teachers[[#This Row],[Teacher Name]])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E45" i="1"/>
  <c r="D48" i="1"/>
  <c r="C51" i="1"/>
  <c r="E51" i="1"/>
  <c r="D51" i="1"/>
  <c r="E50" i="1"/>
  <c r="E49" i="1"/>
  <c r="E48" i="1"/>
  <c r="E47" i="1"/>
  <c r="E46" i="1"/>
  <c r="D50" i="1"/>
  <c r="D49" i="1"/>
  <c r="D47" i="1"/>
  <c r="D46" i="1"/>
  <c r="D45" i="1"/>
  <c r="D14" i="1"/>
  <c r="D13" i="1"/>
  <c r="D16" i="1" s="1"/>
  <c r="C14" i="1"/>
  <c r="C13" i="1"/>
  <c r="C45" i="1"/>
  <c r="C46" i="1"/>
  <c r="C47" i="1"/>
  <c r="C48" i="1"/>
  <c r="C49" i="1"/>
  <c r="C50" i="1"/>
</calcChain>
</file>

<file path=xl/sharedStrings.xml><?xml version="1.0" encoding="utf-8"?>
<sst xmlns="http://schemas.openxmlformats.org/spreadsheetml/2006/main" count="138" uniqueCount="69">
  <si>
    <t>Teachers responsibility table</t>
  </si>
  <si>
    <t>Responsible teacher</t>
  </si>
  <si>
    <t>The teacher that is responsible for the course. This includes:
- Course delivery to students and student support Mon to Thu
- Course content - Content is accurate and available to students. Content maintenance and fixes
- Course lecture videos
- Course grading</t>
  </si>
  <si>
    <t>2nd Teacher</t>
  </si>
  <si>
    <t>This teacher is reponsible for the course delivery, and in some cases grading when the responsible teacher is not at work</t>
  </si>
  <si>
    <t>3rd Teacher</t>
  </si>
  <si>
    <t>Weeks</t>
  </si>
  <si>
    <t>Credits</t>
  </si>
  <si>
    <t>Year 1</t>
  </si>
  <si>
    <t>Year 2</t>
  </si>
  <si>
    <t>Total</t>
  </si>
  <si>
    <t>Course code</t>
  </si>
  <si>
    <t>Course name</t>
  </si>
  <si>
    <t>Semester</t>
  </si>
  <si>
    <t>Hours</t>
  </si>
  <si>
    <t>2nd teacher</t>
  </si>
  <si>
    <t>3rd teacher</t>
  </si>
  <si>
    <t>Martin Kruger</t>
  </si>
  <si>
    <t>FM1AIDE10</t>
  </si>
  <si>
    <t>Marvin Poole</t>
  </si>
  <si>
    <t>Lasse Hægland</t>
  </si>
  <si>
    <t>FM1AIHC10</t>
  </si>
  <si>
    <t>FM1AIPM25</t>
  </si>
  <si>
    <t>FM1AIS175</t>
  </si>
  <si>
    <t>Nelly Moseki</t>
  </si>
  <si>
    <t>FM1AIJ110</t>
  </si>
  <si>
    <t>FM1AIA110</t>
  </si>
  <si>
    <t>FM1AIP175</t>
  </si>
  <si>
    <t>FM1AIPO25</t>
  </si>
  <si>
    <t>FM2AJJ210</t>
  </si>
  <si>
    <t>FM2AJWF05</t>
  </si>
  <si>
    <t>FM2AJCF05</t>
  </si>
  <si>
    <t>FM2AJS210</t>
  </si>
  <si>
    <t>FM2AJDP05</t>
  </si>
  <si>
    <t>FM2AJJF75</t>
  </si>
  <si>
    <t>FM2AJA205</t>
  </si>
  <si>
    <t>FM2AJP210</t>
  </si>
  <si>
    <t>FM2AJPO25</t>
  </si>
  <si>
    <t>Teacher Name</t>
  </si>
  <si>
    <t># Responsible for</t>
  </si>
  <si>
    <t># Courses 2nd</t>
  </si>
  <si>
    <t># Courses 3rd</t>
  </si>
  <si>
    <t>On leave</t>
  </si>
  <si>
    <t>Back</t>
  </si>
  <si>
    <t xml:space="preserve"> </t>
  </si>
  <si>
    <t>Shabana Jahan</t>
  </si>
  <si>
    <t>LAsse Hægland</t>
  </si>
  <si>
    <t>Adrian D Souza</t>
  </si>
  <si>
    <t>Adrian D souza</t>
  </si>
  <si>
    <t>lasse Hægland</t>
  </si>
  <si>
    <t>Course summary</t>
  </si>
  <si>
    <t>HTML and CSS(HTML)</t>
  </si>
  <si>
    <t>Design(DES)</t>
  </si>
  <si>
    <t>Introduction(INTRO)</t>
  </si>
  <si>
    <t>Project Methodology(PME)</t>
  </si>
  <si>
    <t>Semester Project 1(SP1)</t>
  </si>
  <si>
    <t>JavaScript 1(JS1)</t>
  </si>
  <si>
    <t>Agency 1(AGC1)</t>
  </si>
  <si>
    <t>Exam Project 1(PE1)</t>
  </si>
  <si>
    <t>Portfolio 1(POR 1)</t>
  </si>
  <si>
    <t>JavaScript 2(JS2)</t>
  </si>
  <si>
    <t>Workflow(WFL)</t>
  </si>
  <si>
    <t>CSS Frameworks(CSS)</t>
  </si>
  <si>
    <t>Semester Project 2(SP2)</t>
  </si>
  <si>
    <t>Development Platforms(DVP)</t>
  </si>
  <si>
    <t>JavaScript Frameworks(JSF)</t>
  </si>
  <si>
    <t>Agency 2(AGC2)</t>
  </si>
  <si>
    <t>Exam Project 2(PE2)</t>
  </si>
  <si>
    <t>Portfolio 2(POR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</si>
</sst>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262626"/>
      <name val="Arial"/>
      <family val="2"/>
    </font>
    <font>
      <b/>
      <sz val="12"/>
      <color rgb="FF262626"/>
      <name val="Arial"/>
      <family val="2"/>
    </font>
    <font>
      <sz val="12"/>
      <color rgb="FF262626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8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A5B1"/>
        <bgColor indexed="64"/>
      </patternFill>
    </fill>
    <fill>
      <patternFill patternType="solid">
        <fgColor rgb="FFFFD79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5" tint="0.79998168889431442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medium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5" tint="0.39997558519241921"/>
      </left>
      <right style="thin">
        <color theme="4" tint="0.39997558519241921"/>
      </right>
      <top style="thin">
        <color theme="5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9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7" fillId="0" borderId="0" xfId="0" applyFont="1"/>
    <xf numFmtId="0" fontId="5" fillId="6" borderId="11" xfId="0" applyFont="1" applyFill="1" applyBorder="1"/>
    <xf numFmtId="0" fontId="5" fillId="0" borderId="11" xfId="0" applyFont="1" applyBorder="1"/>
    <xf numFmtId="0" fontId="7" fillId="6" borderId="12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9" fillId="5" borderId="0" xfId="0" applyFont="1" applyFill="1"/>
    <xf numFmtId="0" fontId="5" fillId="0" borderId="13" xfId="0" applyFont="1" applyBorder="1"/>
    <xf numFmtId="0" fontId="5" fillId="0" borderId="13" xfId="0" applyFont="1" applyBorder="1" applyAlignment="1">
      <alignment horizontal="center"/>
    </xf>
    <xf numFmtId="0" fontId="5" fillId="0" borderId="14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7" xfId="0" applyFont="1" applyBorder="1" applyAlignment="1">
      <alignment horizontal="center"/>
    </xf>
    <xf numFmtId="0" fontId="5" fillId="0" borderId="19" xfId="0" applyFont="1" applyBorder="1"/>
    <xf numFmtId="0" fontId="5" fillId="0" borderId="20" xfId="0" applyFont="1" applyBorder="1"/>
    <xf numFmtId="0" fontId="5" fillId="0" borderId="20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7" fillId="7" borderId="13" xfId="0" applyFont="1" applyFill="1" applyBorder="1"/>
    <xf numFmtId="0" fontId="7" fillId="7" borderId="17" xfId="0" applyFont="1" applyFill="1" applyBorder="1"/>
    <xf numFmtId="0" fontId="8" fillId="8" borderId="1" xfId="0" applyFont="1" applyFill="1" applyBorder="1"/>
    <xf numFmtId="0" fontId="7" fillId="8" borderId="13" xfId="0" applyFont="1" applyFill="1" applyBorder="1"/>
    <xf numFmtId="0" fontId="7" fillId="8" borderId="17" xfId="0" applyFont="1" applyFill="1" applyBorder="1"/>
    <xf numFmtId="0" fontId="7" fillId="8" borderId="20" xfId="0" applyFont="1" applyFill="1" applyBorder="1"/>
    <xf numFmtId="0" fontId="8" fillId="9" borderId="1" xfId="0" applyFont="1" applyFill="1" applyBorder="1"/>
    <xf numFmtId="0" fontId="7" fillId="9" borderId="15" xfId="0" applyFont="1" applyFill="1" applyBorder="1"/>
    <xf numFmtId="0" fontId="7" fillId="9" borderId="18" xfId="0" applyFont="1" applyFill="1" applyBorder="1"/>
    <xf numFmtId="0" fontId="7" fillId="9" borderId="21" xfId="0" applyFont="1" applyFill="1" applyBorder="1"/>
    <xf numFmtId="0" fontId="8" fillId="7" borderId="1" xfId="0" applyFont="1" applyFill="1" applyBorder="1" applyAlignment="1">
      <alignment vertical="center"/>
    </xf>
    <xf numFmtId="0" fontId="8" fillId="10" borderId="2" xfId="0" applyFont="1" applyFill="1" applyBorder="1"/>
    <xf numFmtId="0" fontId="8" fillId="10" borderId="3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7" fillId="10" borderId="5" xfId="0" applyFont="1" applyFill="1" applyBorder="1"/>
    <xf numFmtId="0" fontId="7" fillId="10" borderId="1" xfId="0" applyFont="1" applyFill="1" applyBorder="1" applyAlignment="1">
      <alignment horizontal="center"/>
    </xf>
    <xf numFmtId="0" fontId="7" fillId="10" borderId="6" xfId="0" applyFont="1" applyFill="1" applyBorder="1" applyAlignment="1">
      <alignment horizontal="center"/>
    </xf>
    <xf numFmtId="0" fontId="7" fillId="10" borderId="7" xfId="0" applyFont="1" applyFill="1" applyBorder="1"/>
    <xf numFmtId="0" fontId="7" fillId="10" borderId="8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center"/>
    </xf>
    <xf numFmtId="0" fontId="8" fillId="10" borderId="25" xfId="0" applyFont="1" applyFill="1" applyBorder="1"/>
    <xf numFmtId="0" fontId="8" fillId="10" borderId="26" xfId="0" applyFont="1" applyFill="1" applyBorder="1" applyAlignment="1">
      <alignment horizontal="center"/>
    </xf>
    <xf numFmtId="0" fontId="8" fillId="10" borderId="27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4" fillId="11" borderId="25" xfId="0" applyFont="1" applyFill="1" applyBorder="1"/>
    <xf numFmtId="0" fontId="4" fillId="11" borderId="26" xfId="0" applyFont="1" applyFill="1" applyBorder="1"/>
    <xf numFmtId="0" fontId="4" fillId="11" borderId="26" xfId="0" applyFont="1" applyFill="1" applyBorder="1" applyAlignment="1">
      <alignment horizontal="center"/>
    </xf>
    <xf numFmtId="0" fontId="4" fillId="11" borderId="27" xfId="0" applyFont="1" applyFill="1" applyBorder="1"/>
    <xf numFmtId="0" fontId="4" fillId="12" borderId="25" xfId="0" applyFont="1" applyFill="1" applyBorder="1"/>
    <xf numFmtId="0" fontId="4" fillId="12" borderId="26" xfId="0" applyFont="1" applyFill="1" applyBorder="1"/>
    <xf numFmtId="0" fontId="4" fillId="12" borderId="26" xfId="0" applyFont="1" applyFill="1" applyBorder="1" applyAlignment="1">
      <alignment horizontal="center"/>
    </xf>
    <xf numFmtId="0" fontId="4" fillId="12" borderId="27" xfId="0" applyFont="1" applyFill="1" applyBorder="1"/>
    <xf numFmtId="0" fontId="9" fillId="5" borderId="11" xfId="0" applyFont="1" applyFill="1" applyBorder="1" applyAlignment="1">
      <alignment horizontal="center"/>
    </xf>
    <xf numFmtId="16" fontId="7" fillId="6" borderId="12" xfId="0" applyNumberFormat="1" applyFont="1" applyFill="1" applyBorder="1" applyAlignment="1">
      <alignment horizontal="center"/>
    </xf>
    <xf numFmtId="16" fontId="7" fillId="0" borderId="12" xfId="0" applyNumberFormat="1" applyFont="1" applyBorder="1" applyAlignment="1">
      <alignment horizontal="center"/>
    </xf>
    <xf numFmtId="0" fontId="4" fillId="13" borderId="36" xfId="0" applyFont="1" applyFill="1" applyBorder="1"/>
    <xf numFmtId="0" fontId="5" fillId="13" borderId="38" xfId="0" applyFont="1" applyFill="1" applyBorder="1"/>
    <xf numFmtId="0" fontId="5" fillId="13" borderId="37" xfId="0" applyFont="1" applyFill="1" applyBorder="1" applyAlignment="1">
      <alignment horizontal="center"/>
    </xf>
    <xf numFmtId="0" fontId="5" fillId="13" borderId="39" xfId="0" applyFont="1" applyFill="1" applyBorder="1" applyAlignment="1">
      <alignment horizontal="center"/>
    </xf>
    <xf numFmtId="0" fontId="4" fillId="13" borderId="39" xfId="0" applyFont="1" applyFill="1" applyBorder="1" applyAlignment="1">
      <alignment horizontal="center"/>
    </xf>
    <xf numFmtId="0" fontId="4" fillId="13" borderId="40" xfId="0" applyFont="1" applyFill="1" applyBorder="1"/>
    <xf numFmtId="0" fontId="5" fillId="13" borderId="41" xfId="0" applyFont="1" applyFill="1" applyBorder="1" applyAlignment="1">
      <alignment horizontal="center"/>
    </xf>
    <xf numFmtId="0" fontId="5" fillId="13" borderId="41" xfId="0" applyFont="1" applyFill="1" applyBorder="1"/>
    <xf numFmtId="0" fontId="5" fillId="7" borderId="39" xfId="0" applyFont="1" applyFill="1" applyBorder="1"/>
    <xf numFmtId="0" fontId="5" fillId="7" borderId="41" xfId="0" applyFont="1" applyFill="1" applyBorder="1"/>
    <xf numFmtId="0" fontId="5" fillId="8" borderId="39" xfId="0" applyFont="1" applyFill="1" applyBorder="1"/>
    <xf numFmtId="0" fontId="7" fillId="6" borderId="12" xfId="0" applyFont="1" applyFill="1" applyBorder="1" applyAlignment="1">
      <alignment horizontal="left" wrapText="1"/>
    </xf>
    <xf numFmtId="15" fontId="7" fillId="6" borderId="12" xfId="0" applyNumberFormat="1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5" fillId="14" borderId="42" xfId="0" applyFont="1" applyFill="1" applyBorder="1"/>
    <xf numFmtId="0" fontId="8" fillId="4" borderId="22" xfId="3" applyFont="1" applyBorder="1" applyAlignment="1">
      <alignment horizontal="center"/>
    </xf>
    <xf numFmtId="0" fontId="8" fillId="4" borderId="23" xfId="3" applyFont="1" applyBorder="1" applyAlignment="1">
      <alignment horizontal="center"/>
    </xf>
    <xf numFmtId="0" fontId="8" fillId="4" borderId="24" xfId="3" applyFont="1" applyBorder="1" applyAlignment="1">
      <alignment horizontal="center"/>
    </xf>
    <xf numFmtId="0" fontId="11" fillId="2" borderId="28" xfId="1" applyFont="1" applyBorder="1" applyAlignment="1">
      <alignment horizontal="center" vertical="center"/>
    </xf>
    <xf numFmtId="0" fontId="11" fillId="2" borderId="29" xfId="1" applyFont="1" applyBorder="1" applyAlignment="1">
      <alignment horizontal="center" vertical="center"/>
    </xf>
    <xf numFmtId="0" fontId="11" fillId="2" borderId="30" xfId="1" applyFont="1" applyBorder="1" applyAlignment="1">
      <alignment horizontal="center" vertical="center"/>
    </xf>
    <xf numFmtId="0" fontId="11" fillId="2" borderId="31" xfId="1" applyFont="1" applyBorder="1" applyAlignment="1">
      <alignment horizontal="center" vertical="center"/>
    </xf>
    <xf numFmtId="0" fontId="11" fillId="2" borderId="0" xfId="1" applyFont="1" applyBorder="1" applyAlignment="1">
      <alignment horizontal="center" vertical="center"/>
    </xf>
    <xf numFmtId="0" fontId="11" fillId="2" borderId="32" xfId="1" applyFont="1" applyBorder="1" applyAlignment="1">
      <alignment horizontal="center" vertical="center"/>
    </xf>
    <xf numFmtId="0" fontId="11" fillId="2" borderId="33" xfId="1" applyFont="1" applyBorder="1" applyAlignment="1">
      <alignment horizontal="center" vertical="center"/>
    </xf>
    <xf numFmtId="0" fontId="11" fillId="2" borderId="34" xfId="1" applyFont="1" applyBorder="1" applyAlignment="1">
      <alignment horizontal="center" vertical="center"/>
    </xf>
    <xf numFmtId="0" fontId="11" fillId="2" borderId="35" xfId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left" wrapText="1"/>
    </xf>
    <xf numFmtId="0" fontId="8" fillId="3" borderId="22" xfId="2" applyFont="1" applyBorder="1" applyAlignment="1">
      <alignment horizontal="center"/>
    </xf>
    <xf numFmtId="0" fontId="8" fillId="3" borderId="23" xfId="2" applyFont="1" applyBorder="1" applyAlignment="1">
      <alignment horizontal="center"/>
    </xf>
    <xf numFmtId="0" fontId="8" fillId="3" borderId="24" xfId="2" applyFont="1" applyBorder="1" applyAlignment="1">
      <alignment horizontal="center"/>
    </xf>
  </cellXfs>
  <cellStyles count="4">
    <cellStyle name="20% - Accent1" xfId="2" builtinId="30"/>
    <cellStyle name="20% - Accent2" xfId="3" builtinId="34"/>
    <cellStyle name="Accent1" xfId="1" builtinId="29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62626"/>
        <name val="Arial"/>
        <family val="2"/>
        <scheme val="none"/>
      </font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left style="thin">
          <color theme="5" tint="0.39997558519241921"/>
        </left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6262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theme="5"/>
          <bgColor theme="5"/>
        </patternFill>
      </fill>
    </dxf>
  </dxfs>
  <tableStyles count="0" defaultTableStyle="TableStyleMedium2" defaultPivotStyle="PivotStyleLight16"/>
  <colors>
    <mruColors>
      <color rgb="FFFFFB8B"/>
      <color rgb="FFFFD795"/>
      <color rgb="FFFFA5B1"/>
      <color rgb="FFFF8472"/>
      <color rgb="FFFF5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848853-68DF-274B-8E6B-7835DBFC6666}" name="Teachers" displayName="Teachers" ref="B44:B51" totalsRowShown="0" headerRowDxfId="8" dataDxfId="7" tableBorderDxfId="6">
  <autoFilter ref="B44:B51" xr:uid="{55848853-68DF-274B-8E6B-7835DBFC6666}"/>
  <tableColumns count="1">
    <tableColumn id="1" xr3:uid="{31AA3114-C2F9-0844-BD6A-7430239BACED}" name="Teacher Nam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418E-C821-1841-B385-3C35042E87D0}">
  <dimension ref="A4:J54"/>
  <sheetViews>
    <sheetView showGridLines="0" tabSelected="1" topLeftCell="B12" zoomScale="142" zoomScaleNormal="142" workbookViewId="0">
      <pane xSplit="3" ySplit="13" topLeftCell="E25" activePane="bottomRight" state="frozen"/>
      <selection activeCell="B12" sqref="B12"/>
      <selection pane="topRight" activeCell="E12" sqref="E12"/>
      <selection pane="bottomLeft" activeCell="B25" sqref="B25"/>
      <selection pane="bottomRight" activeCell="C39" sqref="C39"/>
    </sheetView>
  </sheetViews>
  <sheetFormatPr baseColWidth="10" defaultColWidth="10.83203125" defaultRowHeight="16" x14ac:dyDescent="0.2"/>
  <cols>
    <col min="1" max="1" width="10.83203125" style="4"/>
    <col min="2" max="3" width="25.5" style="4" customWidth="1"/>
    <col min="4" max="4" width="18.5" style="4" customWidth="1"/>
    <col min="5" max="5" width="16.5" style="4" customWidth="1"/>
    <col min="6" max="6" width="29.6640625" style="4" customWidth="1"/>
    <col min="7" max="7" width="12.83203125" style="4" customWidth="1"/>
    <col min="8" max="8" width="21" style="4" bestFit="1" customWidth="1"/>
    <col min="9" max="9" width="19.5" style="4" customWidth="1"/>
    <col min="10" max="10" width="19" style="4" customWidth="1"/>
    <col min="11" max="16384" width="10.83203125" style="4"/>
  </cols>
  <sheetData>
    <row r="4" spans="1:10" ht="16" customHeight="1" x14ac:dyDescent="0.2">
      <c r="B4" s="74" t="s">
        <v>0</v>
      </c>
      <c r="C4" s="75"/>
      <c r="D4" s="75"/>
      <c r="E4" s="75"/>
      <c r="F4" s="75"/>
      <c r="G4" s="75"/>
      <c r="H4" s="75"/>
      <c r="I4" s="75"/>
      <c r="J4" s="76"/>
    </row>
    <row r="5" spans="1:10" ht="16" customHeight="1" x14ac:dyDescent="0.2">
      <c r="B5" s="77"/>
      <c r="C5" s="78"/>
      <c r="D5" s="78"/>
      <c r="E5" s="78"/>
      <c r="F5" s="78"/>
      <c r="G5" s="78"/>
      <c r="H5" s="78"/>
      <c r="I5" s="78"/>
      <c r="J5" s="79"/>
    </row>
    <row r="6" spans="1:10" ht="16" customHeight="1" x14ac:dyDescent="0.2">
      <c r="B6" s="80"/>
      <c r="C6" s="81"/>
      <c r="D6" s="81"/>
      <c r="E6" s="81"/>
      <c r="F6" s="81"/>
      <c r="G6" s="81"/>
      <c r="H6" s="81"/>
      <c r="I6" s="81"/>
      <c r="J6" s="82"/>
    </row>
    <row r="7" spans="1:10" ht="16" customHeight="1" x14ac:dyDescent="0.2">
      <c r="B7" s="20"/>
      <c r="C7" s="20"/>
      <c r="D7" s="20"/>
      <c r="E7" s="20"/>
      <c r="F7" s="20"/>
      <c r="G7" s="20"/>
      <c r="H7" s="20"/>
      <c r="I7" s="20"/>
      <c r="J7" s="20"/>
    </row>
    <row r="8" spans="1:10" ht="85" customHeight="1" x14ac:dyDescent="0.2">
      <c r="B8" s="31" t="s">
        <v>1</v>
      </c>
      <c r="C8" s="83" t="s">
        <v>2</v>
      </c>
      <c r="D8" s="83"/>
      <c r="E8" s="83"/>
      <c r="F8" s="83"/>
      <c r="G8" s="83"/>
      <c r="H8" s="83"/>
      <c r="I8" s="83"/>
      <c r="J8" s="83"/>
    </row>
    <row r="9" spans="1:10" ht="16" customHeight="1" x14ac:dyDescent="0.2">
      <c r="B9" s="23" t="s">
        <v>3</v>
      </c>
      <c r="C9" s="84" t="s">
        <v>4</v>
      </c>
      <c r="D9" s="84"/>
      <c r="E9" s="84"/>
      <c r="F9" s="84"/>
      <c r="G9" s="84"/>
      <c r="H9" s="84"/>
      <c r="I9" s="84"/>
      <c r="J9" s="84"/>
    </row>
    <row r="10" spans="1:10" ht="16" customHeight="1" x14ac:dyDescent="0.2">
      <c r="B10" s="27" t="s">
        <v>5</v>
      </c>
      <c r="C10" s="85" t="s">
        <v>4</v>
      </c>
      <c r="D10" s="85"/>
      <c r="E10" s="85"/>
      <c r="F10" s="85"/>
      <c r="G10" s="85"/>
      <c r="H10" s="85"/>
      <c r="I10" s="85"/>
      <c r="J10" s="85"/>
    </row>
    <row r="11" spans="1:10" ht="17" thickBot="1" x14ac:dyDescent="0.25">
      <c r="E11"/>
      <c r="F11"/>
      <c r="G11"/>
      <c r="H11"/>
      <c r="I11"/>
      <c r="J11"/>
    </row>
    <row r="12" spans="1:10" x14ac:dyDescent="0.2">
      <c r="B12" s="32" t="s">
        <v>50</v>
      </c>
      <c r="C12" s="33" t="s">
        <v>6</v>
      </c>
      <c r="D12" s="34" t="s">
        <v>7</v>
      </c>
      <c r="E12"/>
      <c r="F12"/>
      <c r="G12"/>
      <c r="H12"/>
      <c r="I12"/>
      <c r="J12"/>
    </row>
    <row r="13" spans="1:10" x14ac:dyDescent="0.2">
      <c r="B13" s="35" t="s">
        <v>8</v>
      </c>
      <c r="C13" s="36">
        <f>SUM(E21:E28)</f>
        <v>39</v>
      </c>
      <c r="D13" s="37">
        <f>SUM(G21:G28)</f>
        <v>60</v>
      </c>
      <c r="E13"/>
      <c r="F13"/>
      <c r="G13"/>
      <c r="H13"/>
      <c r="I13"/>
      <c r="J13"/>
    </row>
    <row r="14" spans="1:10" ht="17" thickBot="1" x14ac:dyDescent="0.25">
      <c r="B14" s="38" t="s">
        <v>9</v>
      </c>
      <c r="C14" s="39">
        <f>SUM(E33:E41)</f>
        <v>39</v>
      </c>
      <c r="D14" s="40">
        <f>SUM(G33:G41)</f>
        <v>60</v>
      </c>
      <c r="E14"/>
      <c r="F14"/>
      <c r="G14"/>
      <c r="H14"/>
      <c r="I14"/>
      <c r="J14"/>
    </row>
    <row r="15" spans="1:10" ht="16" customHeight="1" thickBot="1" x14ac:dyDescent="0.25">
      <c r="A15"/>
      <c r="B15"/>
      <c r="C15"/>
      <c r="D15"/>
      <c r="E15"/>
      <c r="F15"/>
      <c r="G15"/>
      <c r="H15"/>
      <c r="I15"/>
      <c r="J15"/>
    </row>
    <row r="16" spans="1:10" ht="17" thickBot="1" x14ac:dyDescent="0.25">
      <c r="B16" s="41" t="s">
        <v>10</v>
      </c>
      <c r="C16" s="42">
        <f>C13+C14</f>
        <v>78</v>
      </c>
      <c r="D16" s="43">
        <f>SUM(D13:D14)</f>
        <v>120</v>
      </c>
      <c r="E16"/>
      <c r="F16"/>
      <c r="G16"/>
      <c r="H16"/>
      <c r="I16"/>
      <c r="J16"/>
    </row>
    <row r="17" spans="2:10" ht="17" thickBot="1" x14ac:dyDescent="0.25"/>
    <row r="18" spans="2:10" x14ac:dyDescent="0.2">
      <c r="B18" s="86" t="s">
        <v>8</v>
      </c>
      <c r="C18" s="87"/>
      <c r="D18" s="87"/>
      <c r="E18" s="87"/>
      <c r="F18" s="87"/>
      <c r="G18" s="87"/>
      <c r="H18" s="87"/>
      <c r="I18" s="87"/>
      <c r="J18" s="88"/>
    </row>
    <row r="19" spans="2:10" x14ac:dyDescent="0.2">
      <c r="B19" s="49" t="s">
        <v>11</v>
      </c>
      <c r="C19" s="50" t="s">
        <v>12</v>
      </c>
      <c r="D19" s="51" t="s">
        <v>13</v>
      </c>
      <c r="E19" s="51" t="s">
        <v>6</v>
      </c>
      <c r="F19" s="51" t="s">
        <v>14</v>
      </c>
      <c r="G19" s="51" t="s">
        <v>7</v>
      </c>
      <c r="H19" s="50" t="s">
        <v>1</v>
      </c>
      <c r="I19" s="50" t="s">
        <v>15</v>
      </c>
      <c r="J19" s="52" t="s">
        <v>16</v>
      </c>
    </row>
    <row r="20" spans="2:10" x14ac:dyDescent="0.2">
      <c r="B20" s="56"/>
      <c r="C20" s="57" t="s">
        <v>53</v>
      </c>
      <c r="D20" s="58">
        <v>1</v>
      </c>
      <c r="E20" s="59">
        <v>1</v>
      </c>
      <c r="F20" s="60"/>
      <c r="G20" s="60"/>
      <c r="H20" s="64" t="s">
        <v>45</v>
      </c>
      <c r="I20" s="66" t="s">
        <v>20</v>
      </c>
      <c r="J20" s="28" t="s">
        <v>24</v>
      </c>
    </row>
    <row r="21" spans="2:10" x14ac:dyDescent="0.2">
      <c r="B21" s="13" t="s">
        <v>18</v>
      </c>
      <c r="C21" s="11" t="s">
        <v>52</v>
      </c>
      <c r="D21" s="12">
        <v>1</v>
      </c>
      <c r="E21" s="12">
        <v>5</v>
      </c>
      <c r="F21" s="12">
        <v>210</v>
      </c>
      <c r="G21" s="12">
        <v>10</v>
      </c>
      <c r="H21" s="21" t="s">
        <v>17</v>
      </c>
      <c r="I21" s="24" t="s">
        <v>47</v>
      </c>
      <c r="J21" s="28" t="s">
        <v>20</v>
      </c>
    </row>
    <row r="22" spans="2:10" x14ac:dyDescent="0.2">
      <c r="B22" s="13" t="s">
        <v>21</v>
      </c>
      <c r="C22" s="11" t="s">
        <v>51</v>
      </c>
      <c r="D22" s="12">
        <v>1</v>
      </c>
      <c r="E22" s="12">
        <v>6</v>
      </c>
      <c r="F22" s="12">
        <v>252</v>
      </c>
      <c r="G22" s="12">
        <v>10</v>
      </c>
      <c r="H22" s="21" t="s">
        <v>19</v>
      </c>
      <c r="I22" s="24" t="s">
        <v>24</v>
      </c>
      <c r="J22" s="28" t="s">
        <v>47</v>
      </c>
    </row>
    <row r="23" spans="2:10" x14ac:dyDescent="0.2">
      <c r="B23" s="13" t="s">
        <v>22</v>
      </c>
      <c r="C23" s="11" t="s">
        <v>54</v>
      </c>
      <c r="D23" s="12">
        <v>1</v>
      </c>
      <c r="E23" s="12">
        <v>2</v>
      </c>
      <c r="F23" s="12">
        <v>84</v>
      </c>
      <c r="G23" s="12">
        <v>2.5</v>
      </c>
      <c r="H23" s="21" t="s">
        <v>20</v>
      </c>
      <c r="I23" s="24" t="s">
        <v>19</v>
      </c>
      <c r="J23" s="28" t="s">
        <v>24</v>
      </c>
    </row>
    <row r="24" spans="2:10" x14ac:dyDescent="0.2">
      <c r="B24" s="13" t="s">
        <v>23</v>
      </c>
      <c r="C24" s="11" t="s">
        <v>55</v>
      </c>
      <c r="D24" s="12">
        <v>1</v>
      </c>
      <c r="E24" s="12">
        <v>4</v>
      </c>
      <c r="F24" s="12">
        <v>168</v>
      </c>
      <c r="G24" s="12">
        <v>7.5</v>
      </c>
      <c r="H24" s="21" t="s">
        <v>20</v>
      </c>
      <c r="I24" s="24" t="s">
        <v>19</v>
      </c>
      <c r="J24" s="28" t="s">
        <v>17</v>
      </c>
    </row>
    <row r="25" spans="2:10" x14ac:dyDescent="0.2">
      <c r="B25" s="13" t="s">
        <v>25</v>
      </c>
      <c r="C25" s="11" t="s">
        <v>56</v>
      </c>
      <c r="D25" s="12">
        <v>2</v>
      </c>
      <c r="E25" s="12">
        <v>8</v>
      </c>
      <c r="F25" s="12">
        <v>336</v>
      </c>
      <c r="G25" s="12">
        <v>10</v>
      </c>
      <c r="H25" s="21" t="s">
        <v>19</v>
      </c>
      <c r="I25" s="24" t="s">
        <v>24</v>
      </c>
      <c r="J25" s="28" t="s">
        <v>47</v>
      </c>
    </row>
    <row r="26" spans="2:10" x14ac:dyDescent="0.2">
      <c r="B26" s="13" t="s">
        <v>26</v>
      </c>
      <c r="C26" s="11" t="s">
        <v>57</v>
      </c>
      <c r="D26" s="12">
        <v>2</v>
      </c>
      <c r="E26" s="12">
        <v>6</v>
      </c>
      <c r="F26" s="12">
        <v>252</v>
      </c>
      <c r="G26" s="12">
        <v>10</v>
      </c>
      <c r="H26" s="70" t="s">
        <v>48</v>
      </c>
      <c r="I26" s="24" t="s">
        <v>17</v>
      </c>
      <c r="J26" s="28" t="s">
        <v>24</v>
      </c>
    </row>
    <row r="27" spans="2:10" x14ac:dyDescent="0.2">
      <c r="B27" s="13" t="s">
        <v>27</v>
      </c>
      <c r="C27" s="11" t="s">
        <v>58</v>
      </c>
      <c r="D27" s="12">
        <v>2</v>
      </c>
      <c r="E27" s="12">
        <v>6</v>
      </c>
      <c r="F27" s="12">
        <v>252</v>
      </c>
      <c r="G27" s="12">
        <v>7.5</v>
      </c>
      <c r="H27" s="21" t="s">
        <v>19</v>
      </c>
      <c r="I27" s="24" t="s">
        <v>47</v>
      </c>
      <c r="J27" s="28" t="s">
        <v>46</v>
      </c>
    </row>
    <row r="28" spans="2:10" ht="17" thickBot="1" x14ac:dyDescent="0.25">
      <c r="B28" s="14" t="s">
        <v>28</v>
      </c>
      <c r="C28" s="15" t="s">
        <v>59</v>
      </c>
      <c r="D28" s="16">
        <v>2</v>
      </c>
      <c r="E28" s="16">
        <v>2</v>
      </c>
      <c r="F28" s="16">
        <v>84</v>
      </c>
      <c r="G28" s="16">
        <v>2.5</v>
      </c>
      <c r="H28" s="22" t="s">
        <v>24</v>
      </c>
      <c r="I28" s="25" t="s">
        <v>20</v>
      </c>
      <c r="J28" s="29" t="s">
        <v>19</v>
      </c>
    </row>
    <row r="29" spans="2:10" ht="17" thickBot="1" x14ac:dyDescent="0.25">
      <c r="B29" s="2"/>
      <c r="C29" s="2"/>
      <c r="D29" s="2"/>
      <c r="E29" s="2"/>
      <c r="F29" s="2"/>
      <c r="G29" s="2"/>
    </row>
    <row r="30" spans="2:10" x14ac:dyDescent="0.2">
      <c r="B30" s="71" t="s">
        <v>9</v>
      </c>
      <c r="C30" s="72"/>
      <c r="D30" s="72"/>
      <c r="E30" s="72"/>
      <c r="F30" s="72"/>
      <c r="G30" s="72"/>
      <c r="H30" s="72"/>
      <c r="I30" s="72"/>
      <c r="J30" s="73"/>
    </row>
    <row r="31" spans="2:10" x14ac:dyDescent="0.2">
      <c r="B31" s="45" t="s">
        <v>11</v>
      </c>
      <c r="C31" s="46" t="s">
        <v>12</v>
      </c>
      <c r="D31" s="47" t="s">
        <v>13</v>
      </c>
      <c r="E31" s="47" t="s">
        <v>6</v>
      </c>
      <c r="F31" s="47" t="s">
        <v>14</v>
      </c>
      <c r="G31" s="47" t="s">
        <v>7</v>
      </c>
      <c r="H31" s="46" t="s">
        <v>1</v>
      </c>
      <c r="I31" s="46" t="s">
        <v>15</v>
      </c>
      <c r="J31" s="48" t="s">
        <v>16</v>
      </c>
    </row>
    <row r="32" spans="2:10" x14ac:dyDescent="0.2">
      <c r="B32" s="61"/>
      <c r="C32" s="63" t="s">
        <v>53</v>
      </c>
      <c r="D32" s="62">
        <v>3</v>
      </c>
      <c r="E32" s="62">
        <v>1</v>
      </c>
      <c r="F32" s="62"/>
      <c r="G32" s="62"/>
      <c r="H32" s="65" t="s">
        <v>45</v>
      </c>
      <c r="I32" s="66" t="s">
        <v>20</v>
      </c>
      <c r="J32" s="28" t="s">
        <v>24</v>
      </c>
    </row>
    <row r="33" spans="2:10" x14ac:dyDescent="0.2">
      <c r="B33" s="17" t="s">
        <v>29</v>
      </c>
      <c r="C33" s="18" t="s">
        <v>60</v>
      </c>
      <c r="D33" s="19">
        <v>3</v>
      </c>
      <c r="E33" s="19">
        <v>6</v>
      </c>
      <c r="F33" s="19">
        <v>252</v>
      </c>
      <c r="G33" s="19">
        <v>10</v>
      </c>
      <c r="H33" s="21" t="s">
        <v>49</v>
      </c>
      <c r="I33" s="26" t="s">
        <v>17</v>
      </c>
      <c r="J33" s="30" t="s">
        <v>47</v>
      </c>
    </row>
    <row r="34" spans="2:10" x14ac:dyDescent="0.2">
      <c r="B34" s="13" t="s">
        <v>30</v>
      </c>
      <c r="C34" s="11" t="s">
        <v>61</v>
      </c>
      <c r="D34" s="12">
        <v>3</v>
      </c>
      <c r="E34" s="12">
        <v>3</v>
      </c>
      <c r="F34" s="12">
        <v>126</v>
      </c>
      <c r="G34" s="12">
        <v>5</v>
      </c>
      <c r="H34" s="21" t="s">
        <v>17</v>
      </c>
      <c r="I34" s="24" t="s">
        <v>47</v>
      </c>
      <c r="J34" s="28" t="s">
        <v>19</v>
      </c>
    </row>
    <row r="35" spans="2:10" x14ac:dyDescent="0.2">
      <c r="B35" s="13" t="s">
        <v>31</v>
      </c>
      <c r="C35" s="11" t="s">
        <v>62</v>
      </c>
      <c r="D35" s="12">
        <v>3</v>
      </c>
      <c r="E35" s="12">
        <v>3</v>
      </c>
      <c r="F35" s="12">
        <v>126</v>
      </c>
      <c r="G35" s="12">
        <v>5</v>
      </c>
      <c r="H35" s="21" t="s">
        <v>24</v>
      </c>
      <c r="I35" s="24" t="s">
        <v>19</v>
      </c>
      <c r="J35" s="28" t="s">
        <v>17</v>
      </c>
    </row>
    <row r="36" spans="2:10" x14ac:dyDescent="0.2">
      <c r="B36" s="13" t="s">
        <v>32</v>
      </c>
      <c r="C36" s="11" t="s">
        <v>63</v>
      </c>
      <c r="D36" s="12">
        <v>3</v>
      </c>
      <c r="E36" s="12">
        <v>5</v>
      </c>
      <c r="F36" s="12">
        <v>210</v>
      </c>
      <c r="G36" s="12">
        <v>10</v>
      </c>
      <c r="H36" s="21" t="s">
        <v>24</v>
      </c>
      <c r="I36" s="24" t="s">
        <v>20</v>
      </c>
      <c r="J36" s="28" t="s">
        <v>17</v>
      </c>
    </row>
    <row r="37" spans="2:10" x14ac:dyDescent="0.2">
      <c r="B37" s="13" t="s">
        <v>33</v>
      </c>
      <c r="C37" s="11" t="s">
        <v>64</v>
      </c>
      <c r="D37" s="12">
        <v>4</v>
      </c>
      <c r="E37" s="12">
        <v>4</v>
      </c>
      <c r="F37" s="12">
        <v>168</v>
      </c>
      <c r="G37" s="12">
        <v>5</v>
      </c>
      <c r="H37" s="21" t="s">
        <v>20</v>
      </c>
      <c r="I37" s="24" t="s">
        <v>47</v>
      </c>
      <c r="J37" s="28" t="s">
        <v>19</v>
      </c>
    </row>
    <row r="38" spans="2:10" x14ac:dyDescent="0.2">
      <c r="B38" s="13" t="s">
        <v>34</v>
      </c>
      <c r="C38" s="11" t="s">
        <v>65</v>
      </c>
      <c r="D38" s="12">
        <v>4</v>
      </c>
      <c r="E38" s="12">
        <v>6</v>
      </c>
      <c r="F38" s="12">
        <v>252</v>
      </c>
      <c r="G38" s="12">
        <v>7.5</v>
      </c>
      <c r="H38" s="70" t="s">
        <v>48</v>
      </c>
      <c r="I38" s="26" t="s">
        <v>17</v>
      </c>
      <c r="J38" s="28" t="s">
        <v>20</v>
      </c>
    </row>
    <row r="39" spans="2:10" x14ac:dyDescent="0.2">
      <c r="B39" s="13" t="s">
        <v>35</v>
      </c>
      <c r="C39" s="11" t="s">
        <v>66</v>
      </c>
      <c r="D39" s="12">
        <v>4</v>
      </c>
      <c r="E39" s="12">
        <v>4</v>
      </c>
      <c r="F39" s="12">
        <v>168</v>
      </c>
      <c r="G39" s="12">
        <v>5</v>
      </c>
      <c r="H39" s="21" t="s">
        <v>17</v>
      </c>
      <c r="I39" s="24" t="s">
        <v>47</v>
      </c>
      <c r="J39" s="28" t="s">
        <v>24</v>
      </c>
    </row>
    <row r="40" spans="2:10" x14ac:dyDescent="0.2">
      <c r="B40" s="13" t="s">
        <v>36</v>
      </c>
      <c r="C40" s="11" t="s">
        <v>67</v>
      </c>
      <c r="D40" s="12">
        <v>4</v>
      </c>
      <c r="E40" s="12">
        <v>6</v>
      </c>
      <c r="F40" s="12">
        <v>252</v>
      </c>
      <c r="G40" s="12">
        <v>10</v>
      </c>
      <c r="H40" s="70" t="s">
        <v>48</v>
      </c>
      <c r="I40" s="26" t="s">
        <v>17</v>
      </c>
      <c r="J40" s="28" t="s">
        <v>20</v>
      </c>
    </row>
    <row r="41" spans="2:10" ht="17" thickBot="1" x14ac:dyDescent="0.25">
      <c r="B41" s="14" t="s">
        <v>37</v>
      </c>
      <c r="C41" s="15" t="s">
        <v>68</v>
      </c>
      <c r="D41" s="16">
        <v>4</v>
      </c>
      <c r="E41" s="16">
        <v>2</v>
      </c>
      <c r="F41" s="16">
        <v>84</v>
      </c>
      <c r="G41" s="16">
        <v>2.5</v>
      </c>
      <c r="H41" s="22" t="s">
        <v>24</v>
      </c>
      <c r="I41" s="25" t="s">
        <v>19</v>
      </c>
      <c r="J41" s="29" t="s">
        <v>20</v>
      </c>
    </row>
    <row r="42" spans="2:10" x14ac:dyDescent="0.2">
      <c r="B42" s="1"/>
      <c r="C42" s="1"/>
      <c r="D42" s="1"/>
      <c r="E42" s="1"/>
    </row>
    <row r="43" spans="2:10" ht="20" x14ac:dyDescent="0.2">
      <c r="B43" s="3"/>
    </row>
    <row r="44" spans="2:10" x14ac:dyDescent="0.2">
      <c r="B44" s="10" t="s">
        <v>38</v>
      </c>
      <c r="C44" s="53" t="s">
        <v>39</v>
      </c>
      <c r="D44" s="53" t="s">
        <v>40</v>
      </c>
      <c r="E44" s="44" t="s">
        <v>41</v>
      </c>
      <c r="F44" s="44" t="s">
        <v>42</v>
      </c>
      <c r="G44" s="44" t="s">
        <v>43</v>
      </c>
    </row>
    <row r="45" spans="2:10" x14ac:dyDescent="0.2">
      <c r="B45" s="5"/>
      <c r="C45" s="7">
        <f>COUNTIF(H21:H28,Teachers[[#This Row],[Teacher Name]]) + COUNTIF(H33:H41,Teachers[[#This Row],[Teacher Name]])</f>
        <v>0</v>
      </c>
      <c r="D45" s="7">
        <f>COUNTIF(I21:I28,Teachers[[#This Row],[Teacher Name]])+COUNTIF(I33:I41,Teachers[[#This Row],[Teacher Name]])</f>
        <v>0</v>
      </c>
      <c r="E45" s="7">
        <f>COUNTIF(J20:J28,Teachers[[#This Row],[Teacher Name]])+COUNTIF(J32:J41,Teachers[[#This Row],[Teacher Name]])</f>
        <v>0</v>
      </c>
      <c r="F45" s="7"/>
      <c r="G45" s="68"/>
    </row>
    <row r="46" spans="2:10" x14ac:dyDescent="0.2">
      <c r="B46" s="5" t="s">
        <v>48</v>
      </c>
      <c r="C46" s="7">
        <f>COUNTIF(H21:H28,Teachers[[#This Row],[Teacher Name]]) + COUNTIF(H33:H41,Teachers[[#This Row],[Teacher Name]])</f>
        <v>3</v>
      </c>
      <c r="D46" s="7">
        <f>COUNTIF(I21:I28,Teachers[[#This Row],[Teacher Name]])+COUNTIF(I33:I41,Teachers[[#This Row],[Teacher Name]])</f>
        <v>5</v>
      </c>
      <c r="E46" s="7">
        <f>COUNTIF(J21:J28,Teachers[[#This Row],[Teacher Name]])+COUNTIF(J33:J41,Teachers[[#This Row],[Teacher Name]])</f>
        <v>3</v>
      </c>
      <c r="F46" s="7"/>
      <c r="G46" s="7"/>
    </row>
    <row r="47" spans="2:10" x14ac:dyDescent="0.2">
      <c r="B47" s="6" t="s">
        <v>20</v>
      </c>
      <c r="C47" s="8">
        <f>COUNTIF(H21:H28,Teachers[[#This Row],[Teacher Name]]) + COUNTIF(H33:H41,Teachers[[#This Row],[Teacher Name]])</f>
        <v>4</v>
      </c>
      <c r="D47" s="8">
        <f>COUNTIF(I21:I28,Teachers[[#This Row],[Teacher Name]])+COUNTIF(I33:I41,Teachers[[#This Row],[Teacher Name]])</f>
        <v>2</v>
      </c>
      <c r="E47" s="8">
        <f>COUNTIF(J21:J28,Teachers[[#This Row],[Teacher Name]])+COUNTIF(J33:J41,Teachers[[#This Row],[Teacher Name]])</f>
        <v>5</v>
      </c>
      <c r="F47" s="8"/>
      <c r="G47" s="8"/>
    </row>
    <row r="48" spans="2:10" x14ac:dyDescent="0.2">
      <c r="B48" s="5" t="s">
        <v>17</v>
      </c>
      <c r="C48" s="7">
        <f>COUNTIF(H21:H28,Teachers[[#This Row],[Teacher Name]]) + COUNTIF(H33:H41,Teachers[[#This Row],[Teacher Name]])</f>
        <v>3</v>
      </c>
      <c r="D48" s="7">
        <f>COUNTIF(I20:I28,Teachers[[#This Row],[Teacher Name]])+COUNTIF(I32:I41,Teachers[[#This Row],[Teacher Name]])</f>
        <v>4</v>
      </c>
      <c r="E48" s="7">
        <f>COUNTIF(J21:J28,Teachers[[#This Row],[Teacher Name]])+COUNTIF(J33:J41,Teachers[[#This Row],[Teacher Name]])</f>
        <v>3</v>
      </c>
      <c r="F48" s="7"/>
      <c r="G48" s="54"/>
    </row>
    <row r="49" spans="2:9" x14ac:dyDescent="0.2">
      <c r="B49" s="6" t="s">
        <v>19</v>
      </c>
      <c r="C49" s="8">
        <f>COUNTIF(H21:H28,Teachers[[#This Row],[Teacher Name]]) + COUNTIF(H33:H41,Teachers[[#This Row],[Teacher Name]])</f>
        <v>3</v>
      </c>
      <c r="D49" s="8">
        <f>COUNTIF(I21:I28,Teachers[[#This Row],[Teacher Name]])+COUNTIF(I33:I41,Teachers[[#This Row],[Teacher Name]])</f>
        <v>4</v>
      </c>
      <c r="E49" s="8">
        <f>COUNTIF(J21:J28,Teachers[[#This Row],[Teacher Name]])+COUNTIF(J33:J41,Teachers[[#This Row],[Teacher Name]])</f>
        <v>3</v>
      </c>
      <c r="F49" s="8"/>
      <c r="G49" s="55"/>
      <c r="I49" s="4" t="s">
        <v>44</v>
      </c>
    </row>
    <row r="50" spans="2:9" x14ac:dyDescent="0.2">
      <c r="B50" s="5" t="s">
        <v>24</v>
      </c>
      <c r="C50" s="7">
        <f>COUNTIF(H21:H28,Teachers[[#This Row],[Teacher Name]]) + COUNTIF(H33:H41,Teachers[[#This Row],[Teacher Name]])</f>
        <v>4</v>
      </c>
      <c r="D50" s="7">
        <f>COUNTIF(I21:I28,Teachers[[#This Row],[Teacher Name]])+COUNTIF(I33:I41,Teachers[[#This Row],[Teacher Name]])</f>
        <v>2</v>
      </c>
      <c r="E50" s="7">
        <f>COUNTIF(J21:J28,Teachers[[#This Row],[Teacher Name]])+COUNTIF(J33:J41,Teachers[[#This Row],[Teacher Name]])</f>
        <v>3</v>
      </c>
      <c r="F50" s="67"/>
      <c r="G50" s="54"/>
    </row>
    <row r="51" spans="2:9" x14ac:dyDescent="0.2">
      <c r="B51" s="6"/>
      <c r="C51" s="9">
        <f>COUNTIF(H20:H28,Teachers[[#This Row],[Teacher Name]]) + COUNTIF(H32:H41,Teachers[[#This Row],[Teacher Name]])</f>
        <v>0</v>
      </c>
      <c r="D51" s="9">
        <f>COUNTIF(I20:I28,Teachers[[#This Row],[Teacher Name]])+COUNTIF(I32:I41,Teachers[[#This Row],[Teacher Name]])</f>
        <v>0</v>
      </c>
      <c r="E51" s="9">
        <f>COUNTIF(J20:J28,Teachers[[#This Row],[Teacher Name]])+COUNTIF(J32:J41,Teachers[[#This Row],[Teacher Name]])</f>
        <v>0</v>
      </c>
      <c r="F51" s="9"/>
      <c r="G51" s="9"/>
    </row>
    <row r="54" spans="2:9" ht="161" customHeight="1" x14ac:dyDescent="0.2">
      <c r="C54" s="69"/>
    </row>
  </sheetData>
  <mergeCells count="6">
    <mergeCell ref="B30:J30"/>
    <mergeCell ref="B4:J6"/>
    <mergeCell ref="C8:J8"/>
    <mergeCell ref="C9:J9"/>
    <mergeCell ref="C10:J10"/>
    <mergeCell ref="B18:J18"/>
  </mergeCells>
  <phoneticPr fontId="10" type="noConversion"/>
  <conditionalFormatting sqref="B45:G51">
    <cfRule type="expression" dxfId="4" priority="12" stopIfTrue="1">
      <formula>isResigned</formula>
    </cfRule>
  </conditionalFormatting>
  <conditionalFormatting sqref="C45:G51">
    <cfRule type="cellIs" dxfId="3" priority="10" operator="equal">
      <formula>0</formula>
    </cfRule>
  </conditionalFormatting>
  <conditionalFormatting sqref="H26">
    <cfRule type="expression" dxfId="2" priority="3" stopIfTrue="1">
      <formula>isResigned</formula>
    </cfRule>
  </conditionalFormatting>
  <conditionalFormatting sqref="H38">
    <cfRule type="expression" dxfId="1" priority="2" stopIfTrue="1">
      <formula>isResigned</formula>
    </cfRule>
  </conditionalFormatting>
  <conditionalFormatting sqref="H40">
    <cfRule type="expression" dxfId="0" priority="1" stopIfTrue="1">
      <formula>isResigned</formula>
    </cfRule>
  </conditionalFormatting>
  <dataValidations count="1">
    <dataValidation type="list" allowBlank="1" showInputMessage="1" showErrorMessage="1" sqref="I13:J16 H27:H28 I21:J28 H21:H25 H41 H33:H37 H39 J32 J20 I33:J41" xr:uid="{E1EC5F35-DE3F-1D4D-95A3-14FDDC9008C3}">
      <formula1>INDIRECT("Teachers[Teacher Name]")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ae3263-c855-44d4-921e-0cbfcee650d6">
      <Terms xmlns="http://schemas.microsoft.com/office/infopath/2007/PartnerControls"/>
    </lcf76f155ced4ddcb4097134ff3c332f>
    <TaxCatchAll xmlns="795c7db4-d700-4d6c-9c6b-fcdf7f57c9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8725C656DBE45A7A61E80B4C80139" ma:contentTypeVersion="14" ma:contentTypeDescription="Create a new document." ma:contentTypeScope="" ma:versionID="07adf5768b983658190eb29f52bfc5ea">
  <xsd:schema xmlns:xsd="http://www.w3.org/2001/XMLSchema" xmlns:xs="http://www.w3.org/2001/XMLSchema" xmlns:p="http://schemas.microsoft.com/office/2006/metadata/properties" xmlns:ns2="83ae3263-c855-44d4-921e-0cbfcee650d6" xmlns:ns3="795c7db4-d700-4d6c-9c6b-fcdf7f57c94b" targetNamespace="http://schemas.microsoft.com/office/2006/metadata/properties" ma:root="true" ma:fieldsID="3569aa7d9b57c55a91fd34ff6331b995" ns2:_="" ns3:_="">
    <xsd:import namespace="83ae3263-c855-44d4-921e-0cbfcee650d6"/>
    <xsd:import namespace="795c7db4-d700-4d6c-9c6b-fcdf7f57c9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e3263-c855-44d4-921e-0cbfcee65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709728d-f333-413a-ae6b-8d9e51106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c7db4-d700-4d6c-9c6b-fcdf7f57c94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013278e-c7ea-4980-8bc0-b7c6bab6b5cb}" ma:internalName="TaxCatchAll" ma:showField="CatchAllData" ma:web="795c7db4-d700-4d6c-9c6b-fcdf7f57c9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81C9FB-352E-4229-9D5D-7E91575DA2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EEDBC2-3E2A-4650-A24D-E48D5A912D05}">
  <ds:schemaRefs>
    <ds:schemaRef ds:uri="http://schemas.microsoft.com/office/2006/metadata/properties"/>
    <ds:schemaRef ds:uri="http://schemas.microsoft.com/office/infopath/2007/PartnerControls"/>
    <ds:schemaRef ds:uri="83ae3263-c855-44d4-921e-0cbfcee650d6"/>
    <ds:schemaRef ds:uri="795c7db4-d700-4d6c-9c6b-fcdf7f57c94b"/>
  </ds:schemaRefs>
</ds:datastoreItem>
</file>

<file path=customXml/itemProps3.xml><?xml version="1.0" encoding="utf-8"?>
<ds:datastoreItem xmlns:ds="http://schemas.openxmlformats.org/officeDocument/2006/customXml" ds:itemID="{BB1E67FD-1EB3-4764-91E3-31089725F6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ae3263-c855-44d4-921e-0cbfcee650d6"/>
    <ds:schemaRef ds:uri="795c7db4-d700-4d6c-9c6b-fcdf7f57c9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Frederick Johannes Botha</dc:creator>
  <cp:keywords/>
  <dc:description/>
  <cp:lastModifiedBy>Mohamed Safeen Shabeer</cp:lastModifiedBy>
  <cp:revision/>
  <dcterms:created xsi:type="dcterms:W3CDTF">2024-10-03T16:37:42Z</dcterms:created>
  <dcterms:modified xsi:type="dcterms:W3CDTF">2026-04-05T10:09:28Z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0x010100D968725C656DBE45A7A61E80B4C80139</vt:lpwstr>
  </property>
  <property fmtid="{D5CDD505-2E9C-101B-9397-08002B2CF9AE}" pid="3" name="MediaServiceImageTags">
    <vt:lpwstr/>
  </property>
  <property fmtid="{D5CDD505-2E9C-101B-9397-08002B2CF9AE}" pid="4" name="MSIP_Label_b41c0bc7-c6be-49cd-a7d8-05e4908a7b56_Enabled">
    <vt:lpwstr>true</vt:lpwstr>
  </property>
  <property fmtid="{D5CDD505-2E9C-101B-9397-08002B2CF9AE}" pid="5" name="MSIP_Label_b41c0bc7-c6be-49cd-a7d8-05e4908a7b56_SetDate">
    <vt:lpwstr>2026-04-05T09:24:20Z</vt:lpwstr>
  </property>
  <property fmtid="{D5CDD505-2E9C-101B-9397-08002B2CF9AE}" pid="6" name="MSIP_Label_b41c0bc7-c6be-49cd-a7d8-05e4908a7b56_Method">
    <vt:lpwstr>Privileged</vt:lpwstr>
  </property>
  <property fmtid="{D5CDD505-2E9C-101B-9397-08002B2CF9AE}" pid="7" name="MSIP_Label_b41c0bc7-c6be-49cd-a7d8-05e4908a7b56_Name">
    <vt:lpwstr>Internal</vt:lpwstr>
  </property>
  <property fmtid="{D5CDD505-2E9C-101B-9397-08002B2CF9AE}" pid="8" name="MSIP_Label_b41c0bc7-c6be-49cd-a7d8-05e4908a7b56_SiteId">
    <vt:lpwstr>4cbfea0a-b872-47f0-b51c-1c64953c3f0b</vt:lpwstr>
  </property>
  <property fmtid="{D5CDD505-2E9C-101B-9397-08002B2CF9AE}" pid="9" name="MSIP_Label_b41c0bc7-c6be-49cd-a7d8-05e4908a7b56_ActionId">
    <vt:lpwstr>abc4b7ab-3ba5-4a82-9aa4-e40f17d080e5</vt:lpwstr>
  </property>
  <property fmtid="{D5CDD505-2E9C-101B-9397-08002B2CF9AE}" pid="10" name="MSIP_Label_b41c0bc7-c6be-49cd-a7d8-05e4908a7b56_ContentBits">
    <vt:lpwstr>0</vt:lpwstr>
  </property>
  <property fmtid="{D5CDD505-2E9C-101B-9397-08002B2CF9AE}" pid="11" name="MSIP_Label_b41c0bc7-c6be-49cd-a7d8-05e4908a7b56_Tag">
    <vt:lpwstr>50, 0, 1, 1</vt:lpwstr>
  </property>
</Properties>
</file>